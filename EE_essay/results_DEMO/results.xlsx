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Trials" sheetId="2" state="visible" r:id="rId2"/>
    <sheet xmlns:r="http://schemas.openxmlformats.org/officeDocument/2006/relationships" name="Raw f1" sheetId="3" state="visible" r:id="rId3"/>
    <sheet xmlns:r="http://schemas.openxmlformats.org/officeDocument/2006/relationships" name="Raw f2" sheetId="4" state="visible" r:id="rId4"/>
    <sheet xmlns:r="http://schemas.openxmlformats.org/officeDocument/2006/relationships" name="Processed" sheetId="5" state="visible" r:id="rId5"/>
    <sheet xmlns:r="http://schemas.openxmlformats.org/officeDocument/2006/relationships" name="Curves" sheetId="6" state="visible" r:id="rId6"/>
    <sheet xmlns:r="http://schemas.openxmlformats.org/officeDocument/2006/relationships" name="Fits" sheetId="7" state="visible" r:id="rId7"/>
    <sheet xmlns:r="http://schemas.openxmlformats.org/officeDocument/2006/relationships" name="Sample calc" sheetId="8" state="visible" r:id="rId8"/>
    <sheet xmlns:r="http://schemas.openxmlformats.org/officeDocument/2006/relationships" name="Windows" sheetId="9" state="visible" r:id="rId9"/>
    <sheet xmlns:r="http://schemas.openxmlformats.org/officeDocument/2006/relationships" name="Infinity" sheetId="10" state="visible" r:id="rId10"/>
    <sheet xmlns:r="http://schemas.openxmlformats.org/officeDocument/2006/relationships" name="Char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00E+00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f2 against d, each window (normal coordinates)</a:t>
            </a:r>
          </a:p>
        </rich>
      </tx>
    </title>
    <plotArea>
      <scatterChart>
        <ser>
          <idx val="0"/>
          <order val="0"/>
          <tx>
            <v>rect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'Windows'!$E$3:$E$10</f>
              </numRef>
            </minus>
            <plus>
              <numRef>
                <f>'Windows'!$E$3:$E$10</f>
              </numRef>
            </plus>
          </errBars>
          <xVal>
            <numRef>
              <f>'Windows'!$A$3:$A$10</f>
            </numRef>
          </xVal>
          <yVal>
            <numRef>
              <f>'Windows'!$D$3:$D$10</f>
            </numRef>
          </yVal>
        </ser>
        <ser>
          <idx val="1"/>
          <order val="1"/>
          <tx>
            <v>hann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'Windows'!$K$3:$K$10</f>
              </numRef>
            </minus>
            <plus>
              <numRef>
                <f>'Windows'!$K$3:$K$10</f>
              </numRef>
            </plus>
          </errBars>
          <xVal>
            <numRef>
              <f>'Windows'!$A$3:$A$10</f>
            </numRef>
          </xVal>
          <yVal>
            <numRef>
              <f>'Windows'!$J$3:$J$10</f>
            </numRef>
          </yVal>
        </ser>
        <ser>
          <idx val="2"/>
          <order val="2"/>
          <tx>
            <v>hamming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6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'Windows'!$Q$3:$Q$10</f>
              </numRef>
            </minus>
            <plus>
              <numRef>
                <f>'Windows'!$Q$3:$Q$10</f>
              </numRef>
            </plus>
          </errBars>
          <xVal>
            <numRef>
              <f>'Windows'!$A$3:$A$10</f>
            </numRef>
          </xVal>
          <yVal>
            <numRef>
              <f>'Windows'!$P$3:$P$10</f>
            </numRef>
          </yVal>
        </ser>
        <ser>
          <idx val="3"/>
          <order val="3"/>
          <tx>
            <v>blackman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'Windows'!$W$3:$W$10</f>
              </numRef>
            </minus>
            <plus>
              <numRef>
                <f>'Windows'!$W$3:$W$10</f>
              </numRef>
            </plus>
          </errBars>
          <xVal>
            <numRef>
              <f>'Windows'!$A$3:$A$10</f>
            </numRef>
          </xVal>
          <yVal>
            <numRef>
              <f>'Windows'!$V$3:$V$10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f2 / Hz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f2 against d, each window (FFT of xA alone)</a:t>
            </a:r>
          </a:p>
        </rich>
      </tx>
    </title>
    <plotArea>
      <scatterChart>
        <ser>
          <idx val="0"/>
          <order val="0"/>
          <tx>
            <v>rect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'Windows'!$E$22:$E$29</f>
              </numRef>
            </minus>
            <plus>
              <numRef>
                <f>'Windows'!$E$22:$E$29</f>
              </numRef>
            </plus>
          </errBars>
          <xVal>
            <numRef>
              <f>'Windows'!$A$22:$A$29</f>
            </numRef>
          </xVal>
          <yVal>
            <numRef>
              <f>'Windows'!$D$22:$D$29</f>
            </numRef>
          </yVal>
        </ser>
        <ser>
          <idx val="1"/>
          <order val="1"/>
          <tx>
            <v>hann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'Windows'!$K$22:$K$29</f>
              </numRef>
            </minus>
            <plus>
              <numRef>
                <f>'Windows'!$K$22:$K$29</f>
              </numRef>
            </plus>
          </errBars>
          <xVal>
            <numRef>
              <f>'Windows'!$A$22:$A$29</f>
            </numRef>
          </xVal>
          <yVal>
            <numRef>
              <f>'Windows'!$J$22:$J$29</f>
            </numRef>
          </yVal>
        </ser>
        <ser>
          <idx val="2"/>
          <order val="2"/>
          <tx>
            <v>hamming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6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'Windows'!$Q$22:$Q$29</f>
              </numRef>
            </minus>
            <plus>
              <numRef>
                <f>'Windows'!$Q$22:$Q$29</f>
              </numRef>
            </plus>
          </errBars>
          <xVal>
            <numRef>
              <f>'Windows'!$A$22:$A$29</f>
            </numRef>
          </xVal>
          <yVal>
            <numRef>
              <f>'Windows'!$P$22:$P$29</f>
            </numRef>
          </yVal>
        </ser>
        <ser>
          <idx val="3"/>
          <order val="3"/>
          <tx>
            <v>blackman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'Windows'!$W$22:$W$29</f>
              </numRef>
            </minus>
            <plus>
              <numRef>
                <f>'Windows'!$W$22:$W$29</f>
              </numRef>
            </plus>
          </errBars>
          <xVal>
            <numRef>
              <f>'Windows'!$A$22:$A$29</f>
            </numRef>
          </xVal>
          <yVal>
            <numRef>
              <f>'Windows'!$V$22:$V$29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f2 / Hz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f1 and f2 against d</a:t>
            </a:r>
          </a:p>
        </rich>
      </tx>
    </title>
    <plotArea>
      <scatterChart>
        <ser>
          <idx val="0"/>
          <order val="0"/>
          <tx>
            <v>f2 measured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'Processed'!$F$2:$F$9</f>
              </numRef>
            </minus>
            <plus>
              <numRef>
                <f>'Processed'!$F$2:$F$9</f>
              </numRef>
            </plus>
          </errBars>
          <xVal>
            <numRef>
              <f>'Processed'!$A$2:$A$9</f>
            </numRef>
          </xVal>
          <yVal>
            <numRef>
              <f>'Processed'!$E$2:$E$9</f>
            </numRef>
          </yVal>
        </ser>
        <ser>
          <idx val="1"/>
          <order val="1"/>
          <tx>
            <v>f1 measured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B35900"/>
              </a:solidFill>
              <a:ln xmlns:a="http://schemas.openxmlformats.org/drawingml/2006/main">
                <a:solidFill>
                  <a:srgbClr val="B359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'Processed'!$D$2:$D$9</f>
              </numRef>
            </minus>
            <plus>
              <numRef>
                <f>'Processed'!$D$2:$D$9</f>
              </numRef>
            </plus>
          </errBars>
          <xVal>
            <numRef>
              <f>'Processed'!$A$2:$A$9</f>
            </numRef>
          </xVal>
          <yVal>
            <numRef>
              <f>'Processed'!$C$2:$C$9</f>
            </numRef>
          </yVal>
        </ser>
        <ser>
          <idx val="2"/>
          <order val="2"/>
          <tx>
            <v>f2 dipole model (C fitted, n = 5)</v>
          </tx>
          <spPr>
            <a:ln xmlns:a="http://schemas.openxmlformats.org/drawingml/2006/main" w="15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'Curves'!$A$2:$A$61</f>
            </numRef>
          </xVal>
          <yVal>
            <numRef>
              <f>'Curves'!$B$2:$B$61</f>
            </numRef>
          </yVal>
          <smooth val="1"/>
        </ser>
        <ser>
          <idx val="3"/>
          <order val="3"/>
          <tx>
            <v>mean f1</v>
          </tx>
          <spPr>
            <a:ln xmlns:a="http://schemas.openxmlformats.org/drawingml/2006/main" w="15000">
              <a:solidFill>
                <a:srgbClr val="B359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'Curves'!$A$2:$A$61</f>
            </numRef>
          </xVal>
          <yVal>
            <numRef>
              <f>'Curves'!$C$2:$C$61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6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 / Hz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ln(f2^2 - f1^2) against ln d</a:t>
            </a:r>
          </a:p>
        </rich>
      </tx>
    </title>
    <plotArea>
      <scatterChart>
        <ser>
          <idx val="0"/>
          <order val="0"/>
          <tx>
            <v>data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'Processed'!$P$2:$P$9</f>
              </numRef>
            </minus>
            <plus>
              <numRef>
                <f>'Processed'!$P$2:$P$9</f>
              </numRef>
            </plus>
          </errBars>
          <xVal>
            <numRef>
              <f>'Processed'!$M$2:$M$9</f>
            </numRef>
          </xVal>
          <yVal>
            <numRef>
              <f>'Processed'!$O$2:$O$9</f>
            </numRef>
          </yVal>
        </ser>
        <ser>
          <idx val="1"/>
          <order val="1"/>
          <tx>
            <v>best fit, gradient -5.01</v>
          </tx>
          <spPr>
            <a:ln xmlns:a="http://schemas.openxmlformats.org/drawingml/2006/main" w="15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'Curves'!$F$2:$F$31</f>
            </numRef>
          </xVal>
          <yVal>
            <numRef>
              <f>'Curves'!$G$2:$G$31</f>
            </numRef>
          </yVal>
          <smooth val="0"/>
        </ser>
        <ser>
          <idx val="2"/>
          <order val="2"/>
          <tx>
            <v>max gradient -6.06</v>
          </tx>
          <spPr>
            <a:ln xmlns:a="http://schemas.openxmlformats.org/drawingml/2006/main" w="1500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'Curves'!$F$2:$F$31</f>
            </numRef>
          </xVal>
          <yVal>
            <numRef>
              <f>'Curves'!$H$2:$H$31</f>
            </numRef>
          </yVal>
          <smooth val="0"/>
        </ser>
        <ser>
          <idx val="3"/>
          <order val="3"/>
          <tx>
            <v>min gradient -4.28</v>
          </tx>
          <spPr>
            <a:ln xmlns:a="http://schemas.openxmlformats.org/drawingml/2006/main" w="15000">
              <a:solidFill>
                <a:srgbClr val="7F7F7F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'Curves'!$F$2:$F$31</f>
            </numRef>
          </xVal>
          <yVal>
            <numRef>
              <f>'Curves'!$I$2:$I$31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ln(d / 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ln[(f2^2 - f1^2) / Hz^2]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f_beat = f2 - f1 against d</a:t>
            </a:r>
          </a:p>
        </rich>
      </tx>
    </title>
    <plotArea>
      <scatterChart>
        <ser>
          <idx val="0"/>
          <order val="0"/>
          <tx>
            <v>measured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'Processed'!$J$2:$J$9</f>
              </numRef>
            </minus>
            <plus>
              <numRef>
                <f>'Processed'!$J$2:$J$9</f>
              </numRef>
            </plus>
          </errBars>
          <xVal>
            <numRef>
              <f>'Processed'!$A$2:$A$9</f>
            </numRef>
          </xVal>
          <yVal>
            <numRef>
              <f>'Processed'!$I$2:$I$9</f>
            </numRef>
          </yVal>
        </ser>
        <ser>
          <idx val="1"/>
          <order val="1"/>
          <tx>
            <v>dipole model</v>
          </tx>
          <spPr>
            <a:ln xmlns:a="http://schemas.openxmlformats.org/drawingml/2006/main" w="15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'Curves'!$A$2:$A$61</f>
            </numRef>
          </xVal>
          <yVal>
            <numRef>
              <f>'Curves'!$D$2:$D$61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f_beat / Hz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(f2^2 - f1^2) d^5 against d  (flat = d^-5 law)</a:t>
            </a:r>
          </a:p>
        </rich>
      </tx>
    </title>
    <plotArea>
      <scatterChart>
        <ser>
          <idx val="0"/>
          <order val="0"/>
          <tx>
            <v>C_i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'Processed'!$R$2:$R$9</f>
              </numRef>
            </minus>
            <plus>
              <numRef>
                <f>'Processed'!$R$2:$R$9</f>
              </numRef>
            </plus>
          </errBars>
          <xVal>
            <numRef>
              <f>'Processed'!$A$2:$A$9</f>
            </numRef>
          </xVal>
          <yVal>
            <numRef>
              <f>'Processed'!$Q$2:$Q$9</f>
            </numRef>
          </yVal>
        </ser>
        <ser>
          <idx val="1"/>
          <order val="1"/>
          <tx>
            <v>C (fixed n = 5)</v>
          </tx>
          <spPr>
            <a:ln xmlns:a="http://schemas.openxmlformats.org/drawingml/2006/main" w="15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'Curves'!$A$2:$A$61</f>
            </numRef>
          </xVal>
          <yVal>
            <numRef>
              <f>'Curves'!$J$2:$J$61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C_i / m^5 s^-2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f_avg against d</a:t>
            </a:r>
          </a:p>
        </rich>
      </tx>
    </title>
    <plotArea>
      <scatterChart>
        <ser>
          <idx val="0"/>
          <order val="0"/>
          <tx>
            <v>measured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'Processed'!$H$2:$H$9</f>
              </numRef>
            </minus>
            <plus>
              <numRef>
                <f>'Processed'!$H$2:$H$9</f>
              </numRef>
            </plus>
          </errBars>
          <xVal>
            <numRef>
              <f>'Processed'!$A$2:$A$9</f>
            </numRef>
          </xVal>
          <yVal>
            <numRef>
              <f>'Processed'!$G$2:$G$9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f_avg / Hz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FFT peak-height ratio against d</a:t>
            </a:r>
          </a:p>
        </rich>
      </tx>
    </title>
    <plotArea>
      <scatterChart>
        <ser>
          <idx val="0"/>
          <order val="0"/>
          <tx>
            <v>mass A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B35900"/>
              </a:solidFill>
              <a:ln xmlns:a="http://schemas.openxmlformats.org/drawingml/2006/main">
                <a:solidFill>
                  <a:srgbClr val="B35900"/>
                </a:solidFill>
                <a:prstDash val="solid"/>
              </a:ln>
            </spPr>
          </marker>
          <xVal>
            <numRef>
              <f>'Processed'!$A$2:$A$9</f>
            </numRef>
          </xVal>
          <yVal>
            <numRef>
              <f>'Processed'!$U$2:$U$9</f>
            </numRef>
          </yVal>
        </ser>
        <ser>
          <idx val="1"/>
          <order val="1"/>
          <tx>
            <v>mass B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'Processed'!$A$2:$A$9</f>
            </numRef>
          </xVal>
          <yVal>
            <numRef>
              <f>'Processed'!$V$2:$V$9</f>
            </numRef>
          </yVal>
        </ser>
        <ser>
          <idx val="2"/>
          <order val="2"/>
          <tx>
            <v>(f1/f2)^2 predicted</v>
          </tx>
          <spPr>
            <a:ln xmlns:a="http://schemas.openxmlformats.org/drawingml/2006/main" w="1500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'Processed'!$A$2:$A$9</f>
            </numRef>
          </xVal>
          <yVal>
            <numRef>
              <f>'Processed'!$T$2:$T$9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|X(f2)| / |X(f1)|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image" Target="/xl/media/image1.png" Id="rId7"/><Relationship Type="http://schemas.openxmlformats.org/officeDocument/2006/relationships/image" Target="/xl/media/image2.png" Id="rId8"/><Relationship Type="http://schemas.openxmlformats.org/officeDocument/2006/relationships/image" Target="/xl/media/image3.png" Id="rId9"/><Relationship Type="http://schemas.openxmlformats.org/officeDocument/2006/relationships/image" Target="/xl/media/image4.png" Id="rId10"/><Relationship Type="http://schemas.openxmlformats.org/officeDocument/2006/relationships/image" Target="/xl/media/image5.png" Id="rId11"/><Relationship Type="http://schemas.openxmlformats.org/officeDocument/2006/relationships/image" Target="/xl/media/image6.png" Id="rId12"/><Relationship Type="http://schemas.openxmlformats.org/officeDocument/2006/relationships/image" Target="/xl/media/image7.png" Id="rId13"/></Relationships>
</file>

<file path=xl/drawings/drawing1.xml><?xml version="1.0" encoding="utf-8"?>
<wsDr xmlns="http://schemas.openxmlformats.org/drawingml/2006/spreadsheetDrawing">
  <oneCellAnchor>
    <from>
      <col>26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26</col>
      <colOff>0</colOff>
      <row>19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0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21</row>
      <rowOff>0</rowOff>
    </from>
    <ext cx="648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42</row>
      <rowOff>0</rowOff>
    </from>
    <ext cx="648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42</row>
      <rowOff>0</rowOff>
    </from>
    <ext cx="648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63</row>
      <rowOff>0</rowOff>
    </from>
    <ext cx="5760720" cy="3520439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5760720" cy="3676459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8001000" cy="3200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8001000" cy="3200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5760720" cy="3200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</row>
      <rowOff>0</rowOff>
    </from>
    <ext cx="12001500" cy="688086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196</row>
      <rowOff>0</rowOff>
    </from>
    <ext cx="8801100" cy="336042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Coupled magnetic-mechanical oscillator - data processing (generated by analyse_folder.py)</t>
        </is>
      </c>
    </row>
    <row r="2">
      <c r="A2" s="2" t="inlineStr"/>
    </row>
    <row r="3">
      <c r="A3" s="2" t="inlineStr">
        <is>
          <t>Input folder: /tmp/Tracker EE txt   (42 trials, 8 separations, 2 Infinity recordings)</t>
        </is>
      </c>
    </row>
    <row r="4">
      <c r="A4" s="2" t="inlineStr">
        <is>
          <t>Units: x converted from m to mm; frequencies in Hz; d in mm (uncertainty +-0.5 mm, ruler/vernier reading + magnet mounting)</t>
        </is>
      </c>
    </row>
    <row r="5">
      <c r="A5" s="2" t="inlineStr"/>
    </row>
    <row r="6">
      <c r="A6" s="1" t="inlineStr">
        <is>
          <t>METHOD PER TRIAL</t>
        </is>
      </c>
    </row>
    <row r="7">
      <c r="A7" s="2" t="inlineStr">
        <is>
          <t>1. Release detected automatically: the flat 'hold' segment is removed; the analysis starts when both masses are moving (column t_start).</t>
        </is>
      </c>
    </row>
    <row r="8">
      <c r="A8" s="2" t="inlineStr">
        <is>
          <t>2. Means removed (equilibrium positions); normal coordinates eta = xA + xB (in-phase) and xi = xB - xA (anti-phase) formed.</t>
        </is>
      </c>
    </row>
    <row r="9">
      <c r="A9" s="2" t="inlineStr">
        <is>
          <t>3. |FFT| of eta and xi (rect window, zero-padded to 2^18 points, parabolic peak interpolation): f1 = peak of eta, f2 = peak of xi.</t>
        </is>
      </c>
    </row>
    <row r="10">
      <c r="A10" s="2" t="inlineStr">
        <is>
          <t xml:space="preserve">   Each normal coordinate contains only ONE frequency, so the two peaks never overlap (columns eta_leak / xi_leak show the residual of the other mode; ~0 = identical springs).</t>
        </is>
      </c>
    </row>
    <row r="11">
      <c r="A11" s="2" t="inlineStr">
        <is>
          <t>4. Cross-checks: two-peak FFT of xA alone and xB alone (Hann); beat period from the envelope maxima; peak-height ratio vs (f1/f2)^2; decay time tau.</t>
        </is>
      </c>
    </row>
    <row r="12">
      <c r="A12" s="2" t="inlineStr"/>
    </row>
    <row r="13">
      <c r="A13" s="2" t="inlineStr">
        <is>
          <t>UNCERTAINTIES (international-essay / IB style)</t>
        </is>
      </c>
    </row>
    <row r="14">
      <c r="A14" s="2" t="inlineStr">
        <is>
          <t>- FFT resolution: one frequency bin = 1/T; reading uncertainty of a peak taken as half a bin = 1/(2T) (column halfbin).</t>
        </is>
      </c>
    </row>
    <row r="15">
      <c r="A15" s="2" t="inlineStr">
        <is>
          <t>- Random: half-range (max - min)/2 of the 5 trials (sample too small for a reliable standard deviation; the SD is listed for comparison).</t>
        </is>
      </c>
    </row>
    <row r="16">
      <c r="A16" s="2" t="inlineStr">
        <is>
          <t>- Adopted uncertainty of f1, f2 at each d: the larger of half-range and half-bin.</t>
        </is>
      </c>
    </row>
    <row r="17">
      <c r="A17" s="2" t="inlineStr">
        <is>
          <t>- Propagation (absolute uncertainties added): d(f_avg) = (df1 + df2)/2;  d(f_beat) = df1 + df2;  d(f2^2 - f1^2) = 2 f2 df2 + 2 f1 df1;  d(ln y) = dy / y;  d(ln d) = dd / d.</t>
        </is>
      </c>
    </row>
    <row r="18">
      <c r="A18" s="2" t="inlineStr">
        <is>
          <t>- Gradient of the ln-ln graph: best fit (least squares, = Excel LINEST) with the max/min gradient lines through the extreme error bars of the first and last points; dn = (n_max - n_min)/2.</t>
        </is>
      </c>
    </row>
    <row r="19">
      <c r="A19" s="2" t="inlineStr"/>
    </row>
    <row r="20">
      <c r="A20" s="1" t="inlineStr">
        <is>
          <t>SHEETS</t>
        </is>
      </c>
    </row>
    <row r="21">
      <c r="A21" s="2" t="inlineStr">
        <is>
          <t>Trials: every file.  Raw f1 / Raw f2: trial values, mean +- uncertainty (Table 4 style).  Processed: derived quantities with uncertainties (Table 5 style).</t>
        </is>
      </c>
    </row>
    <row r="22">
      <c r="A22" s="2" t="inlineStr">
        <is>
          <t>Fits: gradient, C, f1 constancy, theory-vs-experiment comparison (Table 7 style).  Charts: native Excel charts (y error bars) + the matplotlib graphs (x and y error bars).</t>
        </is>
      </c>
    </row>
    <row r="23">
      <c r="A23" s="2" t="inlineStr">
        <is>
          <t>Windows: the whole analysis repeated with rectangular / Hann / Hamming / Blackman windows and with both extraction methods (normal coordinates; conventional two-peak FFT of mass A) -&gt; Graphs 6 and 7.</t>
        </is>
      </c>
    </row>
    <row r="24">
      <c r="A24" s="2" t="inlineStr">
        <is>
          <t>Sample calc: live Excel formulas reproducing the processing for the first separation.  Infinity: uncoupled recordings (fa, fb) if present.</t>
        </is>
      </c>
    </row>
    <row r="25">
      <c r="A25" s="2" t="inlineStr"/>
    </row>
    <row r="26">
      <c r="A26" s="1" t="inlineStr">
        <is>
          <t>WARNINGS PRINTED DURING THE RUN</t>
        </is>
      </c>
    </row>
    <row r="27">
      <c r="A27" s="2" t="inlineStr">
        <is>
          <t xml:space="preserve">      WARNING: mean(xB) - mean(xA) = 27.1 mm but folder says d = 24.5 mm: if both templates are centred on the magnets this IS d (check ruler value / calibration stick); if the templates sit on different features the offset is harmless</t>
        </is>
      </c>
    </row>
    <row r="28">
      <c r="A28" s="2" t="inlineStr">
        <is>
          <t xml:space="preserve">      WARNING: mass B was already swinging (+-2.8 mm) during 0.08-0.31 s while A was still held -&gt; f1, f2 unaffected (analysis starts at A's release), but the peak-height-ratio / beat-minimum tests do not apply to this trial (hold A, pull it slowly, wait until B is still, release)</t>
        </is>
      </c>
    </row>
    <row r="29">
      <c r="A29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30">
      <c r="A30" s="2" t="inlineStr">
        <is>
          <t xml:space="preserve">      WARNING: mean(xB) - mean(xA) = 27.5 mm but folder says d = 24.5 mm: if both templates are centred on the magnets this IS d (check ruler value / calibration stick); if the templates sit on different features the offset is harmless</t>
        </is>
      </c>
    </row>
    <row r="31">
      <c r="A31" s="2" t="inlineStr">
        <is>
          <t xml:space="preserve">      WARNING: mean(xB) - mean(xA) = 27.5 mm but folder says d = 24.5 mm: if both templates are centred on the magnets this IS d (check ruler value / calibration stick); if the templates sit on different features the offset is harmless</t>
        </is>
      </c>
    </row>
    <row r="32">
      <c r="A32" s="2" t="inlineStr">
        <is>
          <t xml:space="preserve">      WARNING: mean(xB) - mean(xA) = 27.5 mm but folder says d = 24.5 mm: if both templates are centred on the magnets this IS d (check ruler value / calibration stick); if the templates sit on different features the offset is harmless</t>
        </is>
      </c>
    </row>
    <row r="33">
      <c r="A33" s="2" t="inlineStr">
        <is>
          <t xml:space="preserve">      WARNING: mean(xB) - mean(xA) = 27.5 mm but folder says d = 24.5 mm: if both templates are centred on the magnets this IS d (check ruler value / calibration stick); if the templates sit on different features the offset is harmless</t>
        </is>
      </c>
    </row>
    <row r="34">
      <c r="A34" s="2" t="inlineStr">
        <is>
          <t xml:space="preserve">      WARNING: mean(xB) - mean(xA) = 29.5 mm but folder says d = 26.5 mm: if both templates are centred on the magnets this IS d (check ruler value / calibration stick); if the templates sit on different features the offset is harmless</t>
        </is>
      </c>
    </row>
    <row r="35">
      <c r="A35" s="2" t="inlineStr">
        <is>
          <t xml:space="preserve">      WARNING: mean(xB) - mean(xA) = 29.5 mm but folder says d = 26.5 mm: if both templates are centred on the magnets this IS d (check ruler value / calibration stick); if the templates sit on different features the offset is harmless</t>
        </is>
      </c>
    </row>
    <row r="36">
      <c r="A36" s="2" t="inlineStr">
        <is>
          <t xml:space="preserve">      WARNING: mean(xB) - mean(xA) = 29.5 mm but folder says d = 26.5 mm: if both templates are centred on the magnets this IS d (check ruler value / calibration stick); if the templates sit on different features the offset is harmless</t>
        </is>
      </c>
    </row>
    <row r="37">
      <c r="A37" s="2" t="inlineStr">
        <is>
          <t xml:space="preserve">      WARNING: mean(xB) - mean(xA) = 29.5 mm but folder says d = 26.5 mm: if both templates are centred on the magnets this IS d (check ruler value / calibration stick); if the templates sit on different features the offset is harmless</t>
        </is>
      </c>
    </row>
    <row r="38">
      <c r="A38" s="2" t="inlineStr">
        <is>
          <t xml:space="preserve">      WARNING: mean(xB) - mean(xA) = 29.5 mm but folder says d = 26.5 mm: if both templates are centred on the magnets this IS d (check ruler value / calibration stick); if the templates sit on different features the offset is harmless</t>
        </is>
      </c>
    </row>
    <row r="39">
      <c r="A39" s="2" t="inlineStr">
        <is>
          <t xml:space="preserve">      WARNING: mean(xB) - mean(xA) = 31.5 mm but folder says d = 28.5 mm: if both templates are centred on the magnets this IS d (check ruler value / calibration stick); if the templates sit on different features the offset is harmless</t>
        </is>
      </c>
    </row>
    <row r="40">
      <c r="A40" s="2" t="inlineStr">
        <is>
          <t xml:space="preserve">      WARNING: mean(xB) - mean(xA) = 31.5 mm but folder says d = 28.5 mm: if both templates are centred on the magnets this IS d (check ruler value / calibration stick); if the templates sit on different features the offset is harmless</t>
        </is>
      </c>
    </row>
    <row r="41">
      <c r="A41" s="2" t="inlineStr">
        <is>
          <t xml:space="preserve">      WARNING: mean(xB) - mean(xA) = 31.5 mm but folder says d = 28.5 mm: if both templates are centred on the magnets this IS d (check ruler value / calibration stick); if the templates sit on different features the offset is harmless</t>
        </is>
      </c>
    </row>
    <row r="42">
      <c r="A42" s="2" t="inlineStr">
        <is>
          <t xml:space="preserve">      WARNING: mean(xB) - mean(xA) = 31.5 mm but folder says d = 28.5 mm: if both templates are centred on the magnets this IS d (check ruler value / calibration stick); if the templates sit on different features the offset is harmless</t>
        </is>
      </c>
    </row>
    <row r="43">
      <c r="A43" s="2" t="inlineStr">
        <is>
          <t xml:space="preserve">      WARNING: mean(xB) - mean(xA) = 31.5 mm but folder says d = 28.5 mm: if both templates are centred on the magnets this IS d (check ruler value / calibration stick); if the templates sit on different features the offset is harmless</t>
        </is>
      </c>
    </row>
    <row r="44">
      <c r="A44" s="2" t="inlineStr">
        <is>
          <t xml:space="preserve">      WARNING: mean(xB) - mean(xA) = 34.0 mm but folder says d = 31.0 mm: if both templates are centred on the magnets this IS d (check ruler value / calibration stick); if the templates sit on different features the offset is harmless</t>
        </is>
      </c>
    </row>
    <row r="45">
      <c r="A45" s="2" t="inlineStr">
        <is>
          <t xml:space="preserve">      WARNING: mean(xB) - mean(xA) = 34.0 mm but folder says d = 31.0 mm: if both templates are centred on the magnets this IS d (check ruler value / calibration stick); if the templates sit on different features the offset is harmless</t>
        </is>
      </c>
    </row>
    <row r="46">
      <c r="A46" s="2" t="inlineStr">
        <is>
          <t xml:space="preserve">      WARNING: mean(xB) - mean(xA) = 34.0 mm but folder says d = 31.0 mm: if both templates are centred on the magnets this IS d (check ruler value / calibration stick); if the templates sit on different features the offset is harmless</t>
        </is>
      </c>
    </row>
    <row r="47">
      <c r="A47" s="2" t="inlineStr">
        <is>
          <t xml:space="preserve">      WARNING: mean(xB) - mean(xA) = 34.0 mm but folder says d = 31.0 mm: if both templates are centred on the magnets this IS d (check ruler value / calibration stick); if the templates sit on different features the offset is harmless</t>
        </is>
      </c>
    </row>
    <row r="48">
      <c r="A48" s="2" t="inlineStr">
        <is>
          <t xml:space="preserve">      WARNING: mean(xB) - mean(xA) = 34.0 mm but folder says d = 31.0 mm: if both templates are centred on the magnets this IS d (check ruler value / calibration stick); if the templates sit on different features the offset is harmless</t>
        </is>
      </c>
    </row>
    <row r="49">
      <c r="A49" s="2" t="inlineStr">
        <is>
          <t xml:space="preserve">      WARNING: mean(xB) - mean(xA) = 36.5 mm but folder says d = 33.5 mm: if both templates are centred on the magnets this IS d (check ruler value / calibration stick); if the templates sit on different features the offset is harmless</t>
        </is>
      </c>
    </row>
    <row r="50">
      <c r="A50" s="2" t="inlineStr">
        <is>
          <t xml:space="preserve">      WARNING: mean(xB) - mean(xA) = 36.5 mm but folder says d = 33.5 mm: if both templates are centred on the magnets this IS d (check ruler value / calibration stick); if the templates sit on different features the offset is harmless</t>
        </is>
      </c>
    </row>
    <row r="51">
      <c r="A51" s="2" t="inlineStr">
        <is>
          <t xml:space="preserve">      WARNING: mean(xB) - mean(xA) = 36.5 mm but folder says d = 33.5 mm: if both templates are centred on the magnets this IS d (check ruler value / calibration stick); if the templates sit on different features the offset is harmless</t>
        </is>
      </c>
    </row>
    <row r="52">
      <c r="A52" s="2" t="inlineStr">
        <is>
          <t xml:space="preserve">      WARNING: mean(xB) - mean(xA) = 36.5 mm but folder says d = 33.5 mm: if both templates are centred on the magnets this IS d (check ruler value / calibration stick); if the templates sit on different features the offset is harmless</t>
        </is>
      </c>
    </row>
    <row r="53">
      <c r="A53" s="2" t="inlineStr">
        <is>
          <t xml:space="preserve">      WARNING: mean(xB) - mean(xA) = 36.5 mm but folder says d = 33.5 mm: if both templates are centred on the magnets this IS d (check ruler value / calibration stick); if the templates sit on different features the offset is harmless</t>
        </is>
      </c>
    </row>
    <row r="54">
      <c r="A54" s="2" t="inlineStr">
        <is>
          <t xml:space="preserve">      WARNING: mean(xB) - mean(xA) = 39.0 mm but folder says d = 36.0 mm: if both templates are centred on the magnets this IS d (check ruler value / calibration stick); if the templates sit on different features the offset is harmless</t>
        </is>
      </c>
    </row>
    <row r="55">
      <c r="A55" s="2" t="inlineStr">
        <is>
          <t xml:space="preserve">      WARNING: mean(xB) - mean(xA) = 39.0 mm but folder says d = 36.0 mm: if both templates are centred on the magnets this IS d (check ruler value / calibration stick); if the templates sit on different features the offset is harmless</t>
        </is>
      </c>
    </row>
    <row r="56">
      <c r="A56" s="2" t="inlineStr">
        <is>
          <t xml:space="preserve">      WARNING: mean(xB) - mean(xA) = 39.0 mm but folder says d = 36.0 mm: if both templates are centred on the magnets this IS d (check ruler value / calibration stick); if the templates sit on different features the offset is harmless</t>
        </is>
      </c>
    </row>
    <row r="57">
      <c r="A57" s="2" t="inlineStr">
        <is>
          <t xml:space="preserve">      WARNING: mean(xB) - mean(xA) = 39.0 mm but folder says d = 36.0 mm: if both templates are centred on the magnets this IS d (check ruler value / calibration stick); if the templates sit on different features the offset is harmless</t>
        </is>
      </c>
    </row>
    <row r="58">
      <c r="A58" s="2" t="inlineStr">
        <is>
          <t xml:space="preserve">      WARNING: mean(xB) - mean(xA) = 39.0 mm but folder says d = 36.0 mm: if both templates are centred on the magnets this IS d (check ruler value / calibration stick); if the templates sit on different features the offset is harmless</t>
        </is>
      </c>
    </row>
    <row r="59">
      <c r="A59" s="2" t="inlineStr">
        <is>
          <t xml:space="preserve">      WARNING: mean(xB) - mean(xA) = 42.0 mm but folder says d = 39.0 mm: if both templates are centred on the magnets this IS d (check ruler value / calibration stick); if the templates sit on different features the offset is harmless</t>
        </is>
      </c>
    </row>
    <row r="60">
      <c r="A60" s="2" t="inlineStr">
        <is>
          <t xml:space="preserve">      WARNING: mean(xB) - mean(xA) = 42.0 mm but folder says d = 39.0 mm: if both templates are centred on the magnets this IS d (check ruler value / calibration stick); if the templates sit on different features the offset is harmless</t>
        </is>
      </c>
    </row>
    <row r="61">
      <c r="A61" s="2" t="inlineStr">
        <is>
          <t xml:space="preserve">      WARNING: mean(xB) - mean(xA) = 42.0 mm but folder says d = 39.0 mm: if both templates are centred on the magnets this IS d (check ruler value / calibration stick); if the templates sit on different features the offset is harmless</t>
        </is>
      </c>
    </row>
    <row r="62">
      <c r="A62" s="2" t="inlineStr">
        <is>
          <t xml:space="preserve">      WARNING: mean(xB) - mean(xA) = 42.0 mm but folder says d = 39.0 mm: if both templates are centred on the magnets this IS d (check ruler value / calibration stick); if the templates sit on different features the offset is harmless</t>
        </is>
      </c>
    </row>
    <row r="63">
      <c r="A63" s="2" t="inlineStr">
        <is>
          <t xml:space="preserve">      WARNING: mean(xB) - mean(xA) = 42.0 mm but folder says d = 39.0 mm: if both templates are centred on the magnets this IS d (check ruler value / calibration stick); if the templates sit on different features the offset is harmless</t>
        </is>
      </c>
    </row>
    <row r="64">
      <c r="A64" s="2" t="inlineStr">
        <is>
          <t xml:space="preserve">      WARNING: mean(xB) - mean(xA) = 45.0 mm but folder says d = 42.0 mm: if both templates are centred on the magnets this IS d (check ruler value / calibration stick); if the templates sit on different features the offset is harmless</t>
        </is>
      </c>
    </row>
    <row r="65">
      <c r="A65" s="2" t="inlineStr">
        <is>
          <t xml:space="preserve">      WARNING: mean(xB) - mean(xA) = 45.0 mm but folder says d = 42.0 mm: if both templates are centred on the magnets this IS d (check ruler value / calibration stick); if the templates sit on different features the offset is harmless</t>
        </is>
      </c>
    </row>
    <row r="66">
      <c r="A66" s="2" t="inlineStr">
        <is>
          <t xml:space="preserve">      WARNING: mean(xB) - mean(xA) = 45.0 mm but folder says d = 42.0 mm: if both templates are centred on the magnets this IS d (check ruler value / calibration stick); if the templates sit on different features the offset is harmless</t>
        </is>
      </c>
    </row>
    <row r="67">
      <c r="A67" s="2" t="inlineStr">
        <is>
          <t xml:space="preserve">      WARNING: mean(xB) - mean(xA) = 45.0 mm but folder says d = 42.0 mm: if both templates are centred on the magnets this IS d (check ruler value / calibration stick); if the templates sit on different features the offset is harmless</t>
        </is>
      </c>
    </row>
    <row r="68">
      <c r="A68" s="2" t="inlineStr">
        <is>
          <t xml:space="preserve">      WARNING: mean(xB) - mean(xA) = 45.0 mm but folder says d = 42.0 mm: if both templates are centred on the magnets this IS d (check ruler value / calibration stick); if the templates sit on different features the offset is harmless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>
      <c r="A1" s="3" t="inlineStr">
        <is>
          <t>d_mm</t>
        </is>
      </c>
      <c r="B1" s="3" t="inlineStr">
        <is>
          <t>trial</t>
        </is>
      </c>
      <c r="C1" s="3" t="inlineStr">
        <is>
          <t>file</t>
        </is>
      </c>
      <c r="D1" s="3" t="inlineStr">
        <is>
          <t>fs</t>
        </is>
      </c>
      <c r="E1" s="3" t="inlineStr">
        <is>
          <t>T</t>
        </is>
      </c>
      <c r="F1" s="3" t="inlineStr">
        <is>
          <t>N</t>
        </is>
      </c>
      <c r="G1" s="3" t="inlineStr">
        <is>
          <t>t_start</t>
        </is>
      </c>
      <c r="H1" s="3" t="inlineStr">
        <is>
          <t>t_start_A</t>
        </is>
      </c>
      <c r="I1" s="3" t="inlineStr">
        <is>
          <t>t_start_B</t>
        </is>
      </c>
      <c r="J1" s="3" t="inlineStr">
        <is>
          <t>B_preswing_mm</t>
        </is>
      </c>
      <c r="K1" s="3" t="inlineStr">
        <is>
          <t>bin_Hz</t>
        </is>
      </c>
      <c r="L1" s="3" t="inlineStr">
        <is>
          <t>halfbin_Hz</t>
        </is>
      </c>
      <c r="M1" s="3" t="inlineStr">
        <is>
          <t>method</t>
        </is>
      </c>
      <c r="N1" s="3" t="inlineStr">
        <is>
          <t>f1</t>
        </is>
      </c>
      <c r="O1" s="3" t="inlineStr">
        <is>
          <t>f2</t>
        </is>
      </c>
      <c r="P1" s="3" t="inlineStr">
        <is>
          <t>f1_winspread</t>
        </is>
      </c>
      <c r="Q1" s="3" t="inlineStr">
        <is>
          <t>f2_winspread</t>
        </is>
      </c>
      <c r="R1" s="3" t="inlineStr">
        <is>
          <t>f1_A</t>
        </is>
      </c>
      <c r="S1" s="3" t="inlineStr">
        <is>
          <t>f2_A</t>
        </is>
      </c>
      <c r="T1" s="3" t="inlineStr">
        <is>
          <t>f1_B</t>
        </is>
      </c>
      <c r="U1" s="3" t="inlineStr">
        <is>
          <t>f2_B</t>
        </is>
      </c>
      <c r="V1" s="3" t="inlineStr">
        <is>
          <t>eta_leak</t>
        </is>
      </c>
      <c r="W1" s="3" t="inlineStr">
        <is>
          <t>xi_leak</t>
        </is>
      </c>
      <c r="X1" s="3" t="inlineStr">
        <is>
          <t>rA</t>
        </is>
      </c>
      <c r="Y1" s="3" t="inlineStr">
        <is>
          <t>rB</t>
        </is>
      </c>
      <c r="Z1" s="3" t="inlineStr">
        <is>
          <t>ratio_pred</t>
        </is>
      </c>
      <c r="AA1" s="3" t="inlineStr">
        <is>
          <t>T_beat_fft</t>
        </is>
      </c>
      <c r="AB1" s="3" t="inlineStr">
        <is>
          <t>T_beat_env</t>
        </is>
      </c>
      <c r="AC1" s="3" t="inlineStr">
        <is>
          <t>dT_beat_env</t>
        </is>
      </c>
      <c r="AD1" s="3" t="inlineStr">
        <is>
          <t>n_beats</t>
        </is>
      </c>
      <c r="AE1" s="3" t="inlineStr">
        <is>
          <t>env_minmax</t>
        </is>
      </c>
      <c r="AF1" s="3" t="inlineStr">
        <is>
          <t>tau_s</t>
        </is>
      </c>
      <c r="AG1" s="3" t="inlineStr">
        <is>
          <t>d_track_mm</t>
        </is>
      </c>
      <c r="AH1" s="3" t="inlineStr">
        <is>
          <t>A_mm</t>
        </is>
      </c>
    </row>
    <row r="2">
      <c r="A2" t="n">
        <v>24.5</v>
      </c>
      <c r="B2" t="n">
        <v>1</v>
      </c>
      <c r="C2" t="inlineStr">
        <is>
          <t>24.5_1.txt</t>
        </is>
      </c>
      <c r="D2" t="n">
        <v>119.3852346537371</v>
      </c>
      <c r="E2" t="n">
        <v>10.6210789272031</v>
      </c>
      <c r="F2" t="n">
        <v>1269</v>
      </c>
      <c r="G2" t="n">
        <v>0.31</v>
      </c>
      <c r="H2" t="n">
        <v>0.31</v>
      </c>
      <c r="I2" t="n">
        <v>0.08400000000000001</v>
      </c>
      <c r="J2" t="n">
        <v>2.779999999999999</v>
      </c>
      <c r="K2" t="n">
        <v>0.09415239326004474</v>
      </c>
      <c r="L2" t="n">
        <v>0.04707619663002237</v>
      </c>
      <c r="M2" t="inlineStr">
        <is>
          <t>eta/xi</t>
        </is>
      </c>
      <c r="N2" t="n">
        <v>6.419406301627559</v>
      </c>
      <c r="O2" t="n">
        <v>8.540313099876714</v>
      </c>
      <c r="P2" t="n">
        <v>4.035220663478611e-05</v>
      </c>
      <c r="Q2" t="n">
        <v>7.297264044581198e-06</v>
      </c>
      <c r="R2" t="n">
        <v>6.419437644466647</v>
      </c>
      <c r="S2" t="n">
        <v>8.540319183634676</v>
      </c>
      <c r="T2" t="n">
        <v>6.41951670950622</v>
      </c>
      <c r="U2" t="n">
        <v>8.540281866568815</v>
      </c>
      <c r="V2" t="n">
        <v>0.0286134482616916</v>
      </c>
      <c r="W2" t="n">
        <v>0.03381317344508747</v>
      </c>
      <c r="X2" t="n">
        <v>0.4813090545224997</v>
      </c>
      <c r="Y2" t="n">
        <v>0.5274643316824766</v>
      </c>
      <c r="Z2" t="n">
        <v>0.5649917974845377</v>
      </c>
      <c r="AA2" t="n">
        <v>0.4714964376678489</v>
      </c>
      <c r="AB2" t="n">
        <v>0.4719122633488464</v>
      </c>
      <c r="AC2" t="n">
        <v>0.0004117584355112246</v>
      </c>
      <c r="AD2" t="n">
        <v>21</v>
      </c>
      <c r="AE2" t="n">
        <v>0.3281412574160636</v>
      </c>
      <c r="AF2" t="n">
        <v>26.19598087524681</v>
      </c>
      <c r="AG2" t="n">
        <v>27.11846336214867</v>
      </c>
      <c r="AH2" t="n">
        <v>2.804056601958317</v>
      </c>
    </row>
    <row r="3">
      <c r="A3" t="n">
        <v>24.5</v>
      </c>
      <c r="B3" t="n">
        <v>2</v>
      </c>
      <c r="C3" t="inlineStr">
        <is>
          <t>24.5_2.txt</t>
        </is>
      </c>
      <c r="D3" t="n">
        <v>119.9959563283461</v>
      </c>
      <c r="E3" t="n">
        <v>9.600323504633543</v>
      </c>
      <c r="F3" t="n">
        <v>1153</v>
      </c>
      <c r="G3" t="n">
        <v>0.292</v>
      </c>
      <c r="H3" t="n">
        <v>0.258</v>
      </c>
      <c r="I3" t="n">
        <v>0.292</v>
      </c>
      <c r="K3" t="n">
        <v>0.1041631565350225</v>
      </c>
      <c r="L3" t="n">
        <v>0.05208157826751127</v>
      </c>
      <c r="M3" t="inlineStr">
        <is>
          <t>eta/xi</t>
        </is>
      </c>
      <c r="N3" t="n">
        <v>6.421293219437205</v>
      </c>
      <c r="O3" t="n">
        <v>7.839840269879861</v>
      </c>
      <c r="P3" t="n">
        <v>5.808710497401393e-05</v>
      </c>
      <c r="Q3" t="n">
        <v>3.395988084387014e-05</v>
      </c>
      <c r="R3" t="n">
        <v>6.421472733411461</v>
      </c>
      <c r="S3" t="n">
        <v>7.83980600612326</v>
      </c>
      <c r="T3" t="n">
        <v>6.4213219570736</v>
      </c>
      <c r="U3" t="n">
        <v>7.839983606628014</v>
      </c>
      <c r="V3" t="n">
        <v>0.02181575743647683</v>
      </c>
      <c r="W3" t="n">
        <v>0.02289376265648667</v>
      </c>
      <c r="X3" t="n">
        <v>0.6558923481210531</v>
      </c>
      <c r="Y3" t="n">
        <v>0.6563846390748285</v>
      </c>
      <c r="Z3" t="n">
        <v>0.6708579563598918</v>
      </c>
      <c r="AA3" t="n">
        <v>0.7049466562902872</v>
      </c>
      <c r="AB3" t="n">
        <v>0.7008294768416093</v>
      </c>
      <c r="AC3" t="n">
        <v>0.003282640179520731</v>
      </c>
      <c r="AD3" t="n">
        <v>13</v>
      </c>
      <c r="AE3" t="n">
        <v>0.2129236577823983</v>
      </c>
      <c r="AF3" t="n">
        <v>45.25568406042755</v>
      </c>
      <c r="AG3" t="n">
        <v>27.49357245481377</v>
      </c>
      <c r="AH3" t="n">
        <v>2.761715582233412</v>
      </c>
    </row>
    <row r="4">
      <c r="A4" t="n">
        <v>24.5</v>
      </c>
      <c r="B4" t="n">
        <v>3</v>
      </c>
      <c r="C4" t="inlineStr">
        <is>
          <t>24.5_3.txt</t>
        </is>
      </c>
      <c r="D4" t="n">
        <v>119.9959563283461</v>
      </c>
      <c r="E4" t="n">
        <v>9.608657118786871</v>
      </c>
      <c r="F4" t="n">
        <v>1154</v>
      </c>
      <c r="G4" t="n">
        <v>0.283</v>
      </c>
      <c r="H4" t="n">
        <v>0.258</v>
      </c>
      <c r="I4" t="n">
        <v>0.283</v>
      </c>
      <c r="K4" t="n">
        <v>0.1040728155493027</v>
      </c>
      <c r="L4" t="n">
        <v>0.05203640777465133</v>
      </c>
      <c r="M4" t="inlineStr">
        <is>
          <t>eta/xi</t>
        </is>
      </c>
      <c r="N4" t="n">
        <v>6.419514099267027</v>
      </c>
      <c r="O4" t="n">
        <v>7.942010611956036</v>
      </c>
      <c r="P4" t="n">
        <v>2.588849538298632e-06</v>
      </c>
      <c r="Q4" t="n">
        <v>2.201322038430931e-05</v>
      </c>
      <c r="R4" t="n">
        <v>6.419555540516313</v>
      </c>
      <c r="S4" t="n">
        <v>7.942117713011847</v>
      </c>
      <c r="T4" t="n">
        <v>6.419477353503322</v>
      </c>
      <c r="U4" t="n">
        <v>7.941991292088711</v>
      </c>
      <c r="V4" t="n">
        <v>0.02017491652468311</v>
      </c>
      <c r="W4" t="n">
        <v>0.02054309562758654</v>
      </c>
      <c r="X4" t="n">
        <v>0.6577736731337037</v>
      </c>
      <c r="Y4" t="n">
        <v>0.6566703768637538</v>
      </c>
      <c r="Z4" t="n">
        <v>0.6533462278929072</v>
      </c>
      <c r="AA4" t="n">
        <v>0.6568159543655151</v>
      </c>
      <c r="AB4" t="n">
        <v>0.6542184739439172</v>
      </c>
      <c r="AC4" t="n">
        <v>0.002975149638825566</v>
      </c>
      <c r="AD4" t="n">
        <v>14</v>
      </c>
      <c r="AE4" t="n">
        <v>0.2189051384681824</v>
      </c>
      <c r="AF4" t="n">
        <v>45.08901287582616</v>
      </c>
      <c r="AG4" t="n">
        <v>27.4935533771083</v>
      </c>
      <c r="AH4" t="n">
        <v>2.804478398624003</v>
      </c>
    </row>
    <row r="5">
      <c r="A5" t="n">
        <v>24.5</v>
      </c>
      <c r="B5" t="n">
        <v>4</v>
      </c>
      <c r="C5" t="inlineStr">
        <is>
          <t>24.5_4.txt</t>
        </is>
      </c>
      <c r="D5" t="n">
        <v>120.0040679345063</v>
      </c>
      <c r="E5" t="n">
        <v>9.491344915254221</v>
      </c>
      <c r="F5" t="n">
        <v>1140</v>
      </c>
      <c r="G5" t="n">
        <v>0.342</v>
      </c>
      <c r="H5" t="n">
        <v>0.308</v>
      </c>
      <c r="I5" t="n">
        <v>0.342</v>
      </c>
      <c r="K5" t="n">
        <v>0.1053591465623411</v>
      </c>
      <c r="L5" t="n">
        <v>0.05267957328117053</v>
      </c>
      <c r="M5" t="inlineStr">
        <is>
          <t>eta/xi</t>
        </is>
      </c>
      <c r="N5" t="n">
        <v>6.416411537105998</v>
      </c>
      <c r="O5" t="n">
        <v>7.987987803403493</v>
      </c>
      <c r="P5" t="n">
        <v>8.492878041632679e-05</v>
      </c>
      <c r="Q5" t="n">
        <v>5.448037221578161e-05</v>
      </c>
      <c r="R5" t="n">
        <v>6.416638923443418</v>
      </c>
      <c r="S5" t="n">
        <v>7.987977782726808</v>
      </c>
      <c r="T5" t="n">
        <v>6.416512323706794</v>
      </c>
      <c r="U5" t="n">
        <v>7.988215898037364</v>
      </c>
      <c r="V5" t="n">
        <v>0.004975724108070568</v>
      </c>
      <c r="W5" t="n">
        <v>0.006036789678518976</v>
      </c>
      <c r="X5" t="n">
        <v>0.6566416474413777</v>
      </c>
      <c r="Y5" t="n">
        <v>0.6572473277724338</v>
      </c>
      <c r="Z5" t="n">
        <v>0.6452226966024379</v>
      </c>
      <c r="AA5" t="n">
        <v>0.6363038316657186</v>
      </c>
      <c r="AB5" t="n">
        <v>0.6283733063310059</v>
      </c>
      <c r="AC5" t="n">
        <v>0.003066326931538467</v>
      </c>
      <c r="AD5" t="n">
        <v>15</v>
      </c>
      <c r="AE5" t="n">
        <v>0.2171322140562418</v>
      </c>
      <c r="AF5" t="n">
        <v>31.08017526849622</v>
      </c>
      <c r="AG5" t="n">
        <v>27.49712165411286</v>
      </c>
      <c r="AH5" t="n">
        <v>2.766026107815459</v>
      </c>
    </row>
    <row r="6">
      <c r="A6" t="n">
        <v>24.5</v>
      </c>
      <c r="B6" t="n">
        <v>5</v>
      </c>
      <c r="C6" t="inlineStr">
        <is>
          <t>24.5_5.txt</t>
        </is>
      </c>
      <c r="D6" t="n">
        <v>120</v>
      </c>
      <c r="E6" t="n">
        <v>9.383333333333361</v>
      </c>
      <c r="F6" t="n">
        <v>1127</v>
      </c>
      <c r="G6" t="n">
        <v>0.367</v>
      </c>
      <c r="H6" t="n">
        <v>0.333</v>
      </c>
      <c r="I6" t="n">
        <v>0.367</v>
      </c>
      <c r="K6" t="n">
        <v>0.1065719360568381</v>
      </c>
      <c r="L6" t="n">
        <v>0.05328596802841903</v>
      </c>
      <c r="M6" t="inlineStr">
        <is>
          <t>eta/xi</t>
        </is>
      </c>
      <c r="N6" t="n">
        <v>6.420021950351175</v>
      </c>
      <c r="O6" t="n">
        <v>7.890372030245143</v>
      </c>
      <c r="P6" t="n">
        <v>2.729160837322553e-06</v>
      </c>
      <c r="Q6" t="n">
        <v>9.755081239992691e-05</v>
      </c>
      <c r="R6" t="n">
        <v>6.420073728207142</v>
      </c>
      <c r="S6" t="n">
        <v>7.890562327619756</v>
      </c>
      <c r="T6" t="n">
        <v>6.419975947978291</v>
      </c>
      <c r="U6" t="n">
        <v>7.890571992442601</v>
      </c>
      <c r="V6" t="n">
        <v>0.01417226192550041</v>
      </c>
      <c r="W6" t="n">
        <v>0.01620439185998214</v>
      </c>
      <c r="X6" t="n">
        <v>0.6573069788952399</v>
      </c>
      <c r="Y6" t="n">
        <v>0.6580378882803515</v>
      </c>
      <c r="Z6" t="n">
        <v>0.6620306015353602</v>
      </c>
      <c r="AA6" t="n">
        <v>0.68011014089387</v>
      </c>
      <c r="AB6" t="n">
        <v>0.6691369047619069</v>
      </c>
      <c r="AC6" t="n">
        <v>0.004243334095345736</v>
      </c>
      <c r="AD6" t="n">
        <v>14</v>
      </c>
      <c r="AE6" t="n">
        <v>0.2109271535557599</v>
      </c>
      <c r="AF6" t="n">
        <v>25.74652990412965</v>
      </c>
      <c r="AG6" t="n">
        <v>27.49812220090785</v>
      </c>
      <c r="AH6" t="n">
        <v>2.792781909722196</v>
      </c>
    </row>
    <row r="7">
      <c r="A7" t="n">
        <v>26.5</v>
      </c>
      <c r="B7" t="n">
        <v>1</v>
      </c>
      <c r="C7" t="inlineStr">
        <is>
          <t>26.5_1.txt</t>
        </is>
      </c>
      <c r="D7" t="n">
        <v>120</v>
      </c>
      <c r="E7" t="n">
        <v>9.633333333333363</v>
      </c>
      <c r="F7" t="n">
        <v>1157</v>
      </c>
      <c r="G7" t="n">
        <v>0.342</v>
      </c>
      <c r="H7" t="n">
        <v>0.308</v>
      </c>
      <c r="I7" t="n">
        <v>0.342</v>
      </c>
      <c r="K7" t="n">
        <v>0.1038062283737021</v>
      </c>
      <c r="L7" t="n">
        <v>0.05190311418685105</v>
      </c>
      <c r="M7" t="inlineStr">
        <is>
          <t>eta/xi</t>
        </is>
      </c>
      <c r="N7" t="n">
        <v>6.425508812448881</v>
      </c>
      <c r="O7" t="n">
        <v>7.460476292880371</v>
      </c>
      <c r="P7" t="n">
        <v>8.358403724040286e-05</v>
      </c>
      <c r="Q7" t="n">
        <v>7.944474846688365e-05</v>
      </c>
      <c r="R7" t="n">
        <v>6.425725874929959</v>
      </c>
      <c r="S7" t="n">
        <v>7.460529899351446</v>
      </c>
      <c r="T7" t="n">
        <v>6.425626065693772</v>
      </c>
      <c r="U7" t="n">
        <v>7.460740557256936</v>
      </c>
      <c r="V7" t="n">
        <v>0.004984846973053897</v>
      </c>
      <c r="W7" t="n">
        <v>0.006267114746522102</v>
      </c>
      <c r="X7" t="n">
        <v>0.7391258864601281</v>
      </c>
      <c r="Y7" t="n">
        <v>0.7387236954192921</v>
      </c>
      <c r="Z7" t="n">
        <v>0.7417916455985588</v>
      </c>
      <c r="AA7" t="n">
        <v>0.9662139331982569</v>
      </c>
      <c r="AB7" t="n">
        <v>0.9513636363636392</v>
      </c>
      <c r="AC7" t="n">
        <v>0.005933859855646361</v>
      </c>
      <c r="AD7" t="n">
        <v>10</v>
      </c>
      <c r="AE7" t="n">
        <v>0.1551032660203744</v>
      </c>
      <c r="AF7" t="n">
        <v>30.44022190743808</v>
      </c>
      <c r="AG7" t="n">
        <v>29.49859186224752</v>
      </c>
      <c r="AH7" t="n">
        <v>2.784318715277704</v>
      </c>
    </row>
    <row r="8">
      <c r="A8" t="n">
        <v>26.5</v>
      </c>
      <c r="B8" t="n">
        <v>2</v>
      </c>
      <c r="C8" t="inlineStr">
        <is>
          <t>26.5_2.txt</t>
        </is>
      </c>
      <c r="D8" t="n">
        <v>120.0041097297853</v>
      </c>
      <c r="E8" t="n">
        <v>9.358012842465785</v>
      </c>
      <c r="F8" t="n">
        <v>1124</v>
      </c>
      <c r="G8" t="n">
        <v>0.375</v>
      </c>
      <c r="H8" t="n">
        <v>0.342</v>
      </c>
      <c r="I8" t="n">
        <v>0.375</v>
      </c>
      <c r="K8" t="n">
        <v>0.1068602936151245</v>
      </c>
      <c r="L8" t="n">
        <v>0.05343014680756227</v>
      </c>
      <c r="M8" t="inlineStr">
        <is>
          <t>eta/xi</t>
        </is>
      </c>
      <c r="N8" t="n">
        <v>6.417539520165063</v>
      </c>
      <c r="O8" t="n">
        <v>7.475415489615783</v>
      </c>
      <c r="P8" t="n">
        <v>9.953849868882259e-05</v>
      </c>
      <c r="Q8" t="n">
        <v>0.000104432102803198</v>
      </c>
      <c r="R8" t="n">
        <v>6.417803479964105</v>
      </c>
      <c r="S8" t="n">
        <v>7.475567374259741</v>
      </c>
      <c r="T8" t="n">
        <v>6.417672904047927</v>
      </c>
      <c r="U8" t="n">
        <v>7.475681414733294</v>
      </c>
      <c r="V8" t="n">
        <v>0.01177513157691798</v>
      </c>
      <c r="W8" t="n">
        <v>0.01118449860345516</v>
      </c>
      <c r="X8" t="n">
        <v>0.737294153070529</v>
      </c>
      <c r="Y8" t="n">
        <v>0.7393668085025449</v>
      </c>
      <c r="Z8" t="n">
        <v>0.7369982071766952</v>
      </c>
      <c r="AA8" t="n">
        <v>0.9452904015952158</v>
      </c>
      <c r="AB8" t="n">
        <v>0.9282257861145734</v>
      </c>
      <c r="AC8" t="n">
        <v>0.007100657359319549</v>
      </c>
      <c r="AD8" t="n">
        <v>10</v>
      </c>
      <c r="AE8" t="n">
        <v>0.1542811475792004</v>
      </c>
      <c r="AF8" t="n">
        <v>28.2085356336069</v>
      </c>
      <c r="AG8" t="n">
        <v>29.4974224409167</v>
      </c>
      <c r="AH8" t="n">
        <v>2.801076544574142</v>
      </c>
    </row>
    <row r="9">
      <c r="A9" t="n">
        <v>26.5</v>
      </c>
      <c r="B9" t="n">
        <v>3</v>
      </c>
      <c r="C9" t="inlineStr">
        <is>
          <t>26.5_3.txt</t>
        </is>
      </c>
      <c r="D9" t="n">
        <v>120.0041203131438</v>
      </c>
      <c r="E9" t="n">
        <v>9.399677253218881</v>
      </c>
      <c r="F9" t="n">
        <v>1129</v>
      </c>
      <c r="G9" t="n">
        <v>0.308</v>
      </c>
      <c r="H9" t="n">
        <v>0.275</v>
      </c>
      <c r="I9" t="n">
        <v>0.308</v>
      </c>
      <c r="K9" t="n">
        <v>0.1063866314832835</v>
      </c>
      <c r="L9" t="n">
        <v>0.05319331574164177</v>
      </c>
      <c r="M9" t="inlineStr">
        <is>
          <t>eta/xi</t>
        </is>
      </c>
      <c r="N9" t="n">
        <v>6.422660710748663</v>
      </c>
      <c r="O9" t="n">
        <v>7.500830218891052</v>
      </c>
      <c r="P9" t="n">
        <v>3.961223530080105e-05</v>
      </c>
      <c r="Q9" t="n">
        <v>0.0001102124898202383</v>
      </c>
      <c r="R9" t="n">
        <v>6.422782901314778</v>
      </c>
      <c r="S9" t="n">
        <v>7.500994255574556</v>
      </c>
      <c r="T9" t="n">
        <v>6.422691769645919</v>
      </c>
      <c r="U9" t="n">
        <v>7.501082660943376</v>
      </c>
      <c r="V9" t="n">
        <v>0.01369395533677231</v>
      </c>
      <c r="W9" t="n">
        <v>0.0142123026371637</v>
      </c>
      <c r="X9" t="n">
        <v>0.7387612507679042</v>
      </c>
      <c r="Y9" t="n">
        <v>0.7389867656522637</v>
      </c>
      <c r="Z9" t="n">
        <v>0.7331811482211973</v>
      </c>
      <c r="AA9" t="n">
        <v>0.9274979420656505</v>
      </c>
      <c r="AB9" t="n">
        <v>0.9173169879047987</v>
      </c>
      <c r="AC9" t="n">
        <v>0.004989295707939257</v>
      </c>
      <c r="AD9" t="n">
        <v>10</v>
      </c>
      <c r="AE9" t="n">
        <v>0.1587683555514295</v>
      </c>
      <c r="AF9" t="n">
        <v>42.02193098987796</v>
      </c>
      <c r="AG9" t="n">
        <v>29.48959019989327</v>
      </c>
      <c r="AH9" t="n">
        <v>2.787055530340959</v>
      </c>
    </row>
    <row r="10">
      <c r="A10" t="n">
        <v>26.5</v>
      </c>
      <c r="B10" t="n">
        <v>4</v>
      </c>
      <c r="C10" t="inlineStr">
        <is>
          <t>26.5_4.txt</t>
        </is>
      </c>
      <c r="D10" t="n">
        <v>120</v>
      </c>
      <c r="E10" t="n">
        <v>9.47500000000003</v>
      </c>
      <c r="F10" t="n">
        <v>1138</v>
      </c>
      <c r="G10" t="n">
        <v>0.35</v>
      </c>
      <c r="H10" t="n">
        <v>0.325</v>
      </c>
      <c r="I10" t="n">
        <v>0.35</v>
      </c>
      <c r="K10" t="n">
        <v>0.105540897097625</v>
      </c>
      <c r="L10" t="n">
        <v>0.0527704485488125</v>
      </c>
      <c r="M10" t="inlineStr">
        <is>
          <t>eta/xi</t>
        </is>
      </c>
      <c r="N10" t="n">
        <v>6.414453724921255</v>
      </c>
      <c r="O10" t="n">
        <v>7.463594202344465</v>
      </c>
      <c r="P10" t="n">
        <v>3.407863122495414e-05</v>
      </c>
      <c r="Q10" t="n">
        <v>4.168016628414151e-05</v>
      </c>
      <c r="R10" t="n">
        <v>6.414510306553921</v>
      </c>
      <c r="S10" t="n">
        <v>7.463558325916813</v>
      </c>
      <c r="T10" t="n">
        <v>6.4142884226361</v>
      </c>
      <c r="U10" t="n">
        <v>7.463770070921377</v>
      </c>
      <c r="V10" t="n">
        <v>0.007975505978707569</v>
      </c>
      <c r="W10" t="n">
        <v>0.009959304246183647</v>
      </c>
      <c r="X10" t="n">
        <v>0.7377565014461742</v>
      </c>
      <c r="Y10" t="n">
        <v>0.7392773744006199</v>
      </c>
      <c r="Z10" t="n">
        <v>0.7386238306880704</v>
      </c>
      <c r="AA10" t="n">
        <v>0.9531612034034722</v>
      </c>
      <c r="AB10" t="n">
        <v>0.9417424242424272</v>
      </c>
      <c r="AC10" t="n">
        <v>0.007495322147614636</v>
      </c>
      <c r="AD10" t="n">
        <v>10</v>
      </c>
      <c r="AE10" t="n">
        <v>0.1556247225746256</v>
      </c>
      <c r="AF10" t="n">
        <v>29.20680851025183</v>
      </c>
      <c r="AG10" t="n">
        <v>29.49461169244289</v>
      </c>
      <c r="AH10" t="n">
        <v>2.808078148148138</v>
      </c>
    </row>
    <row r="11">
      <c r="A11" t="n">
        <v>26.5</v>
      </c>
      <c r="B11" t="n">
        <v>5</v>
      </c>
      <c r="C11" t="inlineStr">
        <is>
          <t>26.5_5.txt</t>
        </is>
      </c>
      <c r="D11" t="n">
        <v>119.9958728848535</v>
      </c>
      <c r="E11" t="n">
        <v>9.375322441960474</v>
      </c>
      <c r="F11" t="n">
        <v>1126</v>
      </c>
      <c r="G11" t="n">
        <v>0.317</v>
      </c>
      <c r="H11" t="n">
        <v>0.275</v>
      </c>
      <c r="I11" t="n">
        <v>0.317</v>
      </c>
      <c r="K11" t="n">
        <v>0.1066629981198695</v>
      </c>
      <c r="L11" t="n">
        <v>0.05333149905993473</v>
      </c>
      <c r="M11" t="inlineStr">
        <is>
          <t>eta/xi</t>
        </is>
      </c>
      <c r="N11" t="n">
        <v>6.422748361535323</v>
      </c>
      <c r="O11" t="n">
        <v>7.448196032081952</v>
      </c>
      <c r="P11" t="n">
        <v>9.608177792053141e-06</v>
      </c>
      <c r="Q11" t="n">
        <v>9.096866923918867e-05</v>
      </c>
      <c r="R11" t="n">
        <v>6.422779289949935</v>
      </c>
      <c r="S11" t="n">
        <v>7.448332774691136</v>
      </c>
      <c r="T11" t="n">
        <v>6.42275595344089</v>
      </c>
      <c r="U11" t="n">
        <v>7.448423295013759</v>
      </c>
      <c r="V11" t="n">
        <v>0.03065766201858676</v>
      </c>
      <c r="W11" t="n">
        <v>0.03123421876161201</v>
      </c>
      <c r="X11" t="n">
        <v>0.7384094486050398</v>
      </c>
      <c r="Y11" t="n">
        <v>0.7402480376643226</v>
      </c>
      <c r="Z11" t="n">
        <v>0.7436004039758159</v>
      </c>
      <c r="AA11" t="n">
        <v>0.9751838428448871</v>
      </c>
      <c r="AB11" t="n">
        <v>0.9671039683160089</v>
      </c>
      <c r="AC11" t="n">
        <v>0.007827085609306889</v>
      </c>
      <c r="AD11" t="n">
        <v>9</v>
      </c>
      <c r="AE11" t="n">
        <v>0.1476945830526921</v>
      </c>
      <c r="AF11" t="n">
        <v>39.50699048409407</v>
      </c>
      <c r="AG11" t="n">
        <v>29.49756357483932</v>
      </c>
      <c r="AH11" t="n">
        <v>2.800074020851186</v>
      </c>
    </row>
    <row r="12">
      <c r="A12" t="n">
        <v>28.5</v>
      </c>
      <c r="B12" t="n">
        <v>1</v>
      </c>
      <c r="C12" t="inlineStr">
        <is>
          <t>28.5_1.txt</t>
        </is>
      </c>
      <c r="D12" t="n">
        <v>119.9958835031388</v>
      </c>
      <c r="E12" t="n">
        <v>9.391988850771861</v>
      </c>
      <c r="F12" t="n">
        <v>1128</v>
      </c>
      <c r="G12" t="n">
        <v>0.325</v>
      </c>
      <c r="H12" t="n">
        <v>0.283</v>
      </c>
      <c r="I12" t="n">
        <v>0.325</v>
      </c>
      <c r="K12" t="n">
        <v>0.1064737209433353</v>
      </c>
      <c r="L12" t="n">
        <v>0.05323686047166767</v>
      </c>
      <c r="M12" t="inlineStr">
        <is>
          <t>eta/xi</t>
        </is>
      </c>
      <c r="N12" t="n">
        <v>6.419256013292665</v>
      </c>
      <c r="O12" t="n">
        <v>7.145791710634956</v>
      </c>
      <c r="P12" t="n">
        <v>7.079179987767859e-05</v>
      </c>
      <c r="Q12" t="n">
        <v>4.213837210720328e-06</v>
      </c>
      <c r="R12" t="n">
        <v>6.419563269543355</v>
      </c>
      <c r="S12" t="n">
        <v>7.145471182286659</v>
      </c>
      <c r="T12" t="n">
        <v>6.419219643059749</v>
      </c>
      <c r="U12" t="n">
        <v>7.146122673751839</v>
      </c>
      <c r="V12" t="n">
        <v>0.0235557290953306</v>
      </c>
      <c r="W12" t="n">
        <v>0.02624524201300657</v>
      </c>
      <c r="X12" t="n">
        <v>0.8019121574196126</v>
      </c>
      <c r="Y12" t="n">
        <v>0.8028405659448553</v>
      </c>
      <c r="Z12" t="n">
        <v>0.8069909924331848</v>
      </c>
      <c r="AA12" t="n">
        <v>1.376394860786684</v>
      </c>
      <c r="AB12" t="n">
        <v>1.328021747120802</v>
      </c>
      <c r="AC12" t="n">
        <v>0.01908853389489186</v>
      </c>
      <c r="AD12" t="n">
        <v>7</v>
      </c>
      <c r="AE12" t="n">
        <v>0.10893204676181</v>
      </c>
      <c r="AF12" t="n">
        <v>22.21691436656024</v>
      </c>
      <c r="AG12" t="n">
        <v>31.49508949949082</v>
      </c>
      <c r="AH12" t="n">
        <v>2.8146355748523</v>
      </c>
    </row>
    <row r="13">
      <c r="A13" t="n">
        <v>28.5</v>
      </c>
      <c r="B13" t="n">
        <v>2</v>
      </c>
      <c r="C13" t="inlineStr">
        <is>
          <t>28.5_2.txt</t>
        </is>
      </c>
      <c r="D13" t="n">
        <v>120</v>
      </c>
      <c r="E13" t="n">
        <v>9.533333333333363</v>
      </c>
      <c r="F13" t="n">
        <v>1145</v>
      </c>
      <c r="G13" t="n">
        <v>0.367</v>
      </c>
      <c r="H13" t="n">
        <v>0.333</v>
      </c>
      <c r="I13" t="n">
        <v>0.367</v>
      </c>
      <c r="K13" t="n">
        <v>0.1048951048951046</v>
      </c>
      <c r="L13" t="n">
        <v>0.05244755244755228</v>
      </c>
      <c r="M13" t="inlineStr">
        <is>
          <t>eta/xi</t>
        </is>
      </c>
      <c r="N13" t="n">
        <v>6.412910363605697</v>
      </c>
      <c r="O13" t="n">
        <v>7.145643038717016</v>
      </c>
      <c r="P13" t="n">
        <v>6.39649028788547e-05</v>
      </c>
      <c r="Q13" t="n">
        <v>7.607810996912434e-05</v>
      </c>
      <c r="R13" t="n">
        <v>6.413246781657393</v>
      </c>
      <c r="S13" t="n">
        <v>7.145559258213709</v>
      </c>
      <c r="T13" t="n">
        <v>6.412830585864003</v>
      </c>
      <c r="U13" t="n">
        <v>7.146023438443388</v>
      </c>
      <c r="V13" t="n">
        <v>0.006698070980900243</v>
      </c>
      <c r="W13" t="n">
        <v>0.01085679398492968</v>
      </c>
      <c r="X13" t="n">
        <v>0.8047618508339635</v>
      </c>
      <c r="Y13" t="n">
        <v>0.8026424590301334</v>
      </c>
      <c r="Z13" t="n">
        <v>0.8054298201699239</v>
      </c>
      <c r="AA13" t="n">
        <v>1.364754205683644</v>
      </c>
      <c r="AB13" t="n">
        <v>1.334325396825401</v>
      </c>
      <c r="AC13" t="n">
        <v>0.009083387364299199</v>
      </c>
      <c r="AD13" t="n">
        <v>7</v>
      </c>
      <c r="AE13" t="n">
        <v>0.1048222312510113</v>
      </c>
      <c r="AF13" t="n">
        <v>31.073383889058</v>
      </c>
      <c r="AG13" t="n">
        <v>31.49526944632703</v>
      </c>
      <c r="AH13" t="n">
        <v>2.798933726851788</v>
      </c>
    </row>
    <row r="14">
      <c r="A14" t="n">
        <v>28.5</v>
      </c>
      <c r="B14" t="n">
        <v>3</v>
      </c>
      <c r="C14" t="inlineStr">
        <is>
          <t>28.5_3.txt</t>
        </is>
      </c>
      <c r="D14" t="n">
        <v>120</v>
      </c>
      <c r="E14" t="n">
        <v>9.341666666666695</v>
      </c>
      <c r="F14" t="n">
        <v>1122</v>
      </c>
      <c r="G14" t="n">
        <v>0.358</v>
      </c>
      <c r="H14" t="n">
        <v>0.325</v>
      </c>
      <c r="I14" t="n">
        <v>0.358</v>
      </c>
      <c r="K14" t="n">
        <v>0.1070472792149863</v>
      </c>
      <c r="L14" t="n">
        <v>0.05352363960749314</v>
      </c>
      <c r="M14" t="inlineStr">
        <is>
          <t>eta/xi</t>
        </is>
      </c>
      <c r="N14" t="n">
        <v>6.422080844971271</v>
      </c>
      <c r="O14" t="n">
        <v>7.171113682256173</v>
      </c>
      <c r="P14" t="n">
        <v>0.0001438640960329529</v>
      </c>
      <c r="Q14" t="n">
        <v>0.0001054524834196435</v>
      </c>
      <c r="R14" t="n">
        <v>6.42252913859079</v>
      </c>
      <c r="S14" t="n">
        <v>7.170957100667522</v>
      </c>
      <c r="T14" t="n">
        <v>6.422192164549349</v>
      </c>
      <c r="U14" t="n">
        <v>7.171689490521333</v>
      </c>
      <c r="V14" t="n">
        <v>0.008359664342528814</v>
      </c>
      <c r="W14" t="n">
        <v>0.009879375291860849</v>
      </c>
      <c r="X14" t="n">
        <v>0.803070618797514</v>
      </c>
      <c r="Y14" t="n">
        <v>0.8025155666518641</v>
      </c>
      <c r="Z14" t="n">
        <v>0.8020073015522515</v>
      </c>
      <c r="AA14" t="n">
        <v>1.335054953831937</v>
      </c>
      <c r="AB14" t="n">
        <v>1.309126984126988</v>
      </c>
      <c r="AC14" t="n">
        <v>0.009581162734672771</v>
      </c>
      <c r="AD14" t="n">
        <v>7</v>
      </c>
      <c r="AE14" t="n">
        <v>0.09953372201261104</v>
      </c>
      <c r="AF14" t="n">
        <v>30.29000100762675</v>
      </c>
      <c r="AG14" t="n">
        <v>31.49760310320113</v>
      </c>
      <c r="AH14" t="n">
        <v>2.796312303240795</v>
      </c>
    </row>
    <row r="15">
      <c r="A15" t="n">
        <v>28.5</v>
      </c>
      <c r="B15" t="n">
        <v>4</v>
      </c>
      <c r="C15" t="inlineStr">
        <is>
          <t>28.5_4.txt</t>
        </is>
      </c>
      <c r="D15" t="n">
        <v>120</v>
      </c>
      <c r="E15" t="n">
        <v>9.458333333333362</v>
      </c>
      <c r="F15" t="n">
        <v>1136</v>
      </c>
      <c r="G15" t="n">
        <v>0.342</v>
      </c>
      <c r="H15" t="n">
        <v>0.308</v>
      </c>
      <c r="I15" t="n">
        <v>0.342</v>
      </c>
      <c r="K15" t="n">
        <v>0.1057268722466957</v>
      </c>
      <c r="L15" t="n">
        <v>0.05286343612334785</v>
      </c>
      <c r="M15" t="inlineStr">
        <is>
          <t>eta/xi</t>
        </is>
      </c>
      <c r="N15" t="n">
        <v>6.417958472568004</v>
      </c>
      <c r="O15" t="n">
        <v>7.165651909595627</v>
      </c>
      <c r="P15" t="n">
        <v>1.235892647821757e-05</v>
      </c>
      <c r="Q15" t="n">
        <v>1.688498070873123e-05</v>
      </c>
      <c r="R15" t="n">
        <v>6.418140628103728</v>
      </c>
      <c r="S15" t="n">
        <v>7.165434781229106</v>
      </c>
      <c r="T15" t="n">
        <v>6.417826504462677</v>
      </c>
      <c r="U15" t="n">
        <v>7.165934992435061</v>
      </c>
      <c r="V15" t="n">
        <v>0.01229833367482089</v>
      </c>
      <c r="W15" t="n">
        <v>0.01608357685663246</v>
      </c>
      <c r="X15" t="n">
        <v>0.8048593754651252</v>
      </c>
      <c r="Y15" t="n">
        <v>0.801951790690254</v>
      </c>
      <c r="Z15" t="n">
        <v>0.8021995068020327</v>
      </c>
      <c r="AA15" t="n">
        <v>1.337446539554226</v>
      </c>
      <c r="AB15" t="n">
        <v>1.302777777777782</v>
      </c>
      <c r="AC15" t="n">
        <v>0.009832612145855138</v>
      </c>
      <c r="AD15" t="n">
        <v>7</v>
      </c>
      <c r="AE15" t="n">
        <v>0.115797907095104</v>
      </c>
      <c r="AF15" t="n">
        <v>33.18459314101848</v>
      </c>
      <c r="AG15" t="n">
        <v>31.49485980273661</v>
      </c>
      <c r="AH15" t="n">
        <v>2.806835763888832</v>
      </c>
    </row>
    <row r="16">
      <c r="A16" t="n">
        <v>28.5</v>
      </c>
      <c r="B16" t="n">
        <v>5</v>
      </c>
      <c r="C16" t="inlineStr">
        <is>
          <t>28.5_5.txt</t>
        </is>
      </c>
      <c r="D16" t="n">
        <v>119.9959460829026</v>
      </c>
      <c r="E16" t="n">
        <v>9.491987331081111</v>
      </c>
      <c r="F16" t="n">
        <v>1140</v>
      </c>
      <c r="G16" t="n">
        <v>0.375</v>
      </c>
      <c r="H16" t="n">
        <v>0.342</v>
      </c>
      <c r="I16" t="n">
        <v>0.375</v>
      </c>
      <c r="K16" t="n">
        <v>0.1053520158761214</v>
      </c>
      <c r="L16" t="n">
        <v>0.05267600793806068</v>
      </c>
      <c r="M16" t="inlineStr">
        <is>
          <t>eta/xi</t>
        </is>
      </c>
      <c r="N16" t="n">
        <v>6.421102405510919</v>
      </c>
      <c r="O16" t="n">
        <v>7.125592217972428</v>
      </c>
      <c r="P16" t="n">
        <v>8.799176891249871e-05</v>
      </c>
      <c r="Q16" t="n">
        <v>3.634122567275355e-05</v>
      </c>
      <c r="R16" t="n">
        <v>6.421439938615275</v>
      </c>
      <c r="S16" t="n">
        <v>7.125430695748812</v>
      </c>
      <c r="T16" t="n">
        <v>6.421116263643433</v>
      </c>
      <c r="U16" t="n">
        <v>7.125899891735188</v>
      </c>
      <c r="V16" t="n">
        <v>0.03832301657664455</v>
      </c>
      <c r="W16" t="n">
        <v>0.04192687375531359</v>
      </c>
      <c r="X16" t="n">
        <v>0.8019272442170909</v>
      </c>
      <c r="Y16" t="n">
        <v>0.8017307873925501</v>
      </c>
      <c r="Z16" t="n">
        <v>0.8120397006450902</v>
      </c>
      <c r="AA16" t="n">
        <v>1.41946694233373</v>
      </c>
      <c r="AB16" t="n">
        <v>1.399452039092669</v>
      </c>
      <c r="AC16" t="n">
        <v>0.0154101761082976</v>
      </c>
      <c r="AD16" t="n">
        <v>6</v>
      </c>
      <c r="AE16" t="n">
        <v>0.1119795829532889</v>
      </c>
      <c r="AF16" t="n">
        <v>33.19660180145829</v>
      </c>
      <c r="AG16" t="n">
        <v>31.49213152101571</v>
      </c>
      <c r="AH16" t="n">
        <v>2.822944016985739</v>
      </c>
    </row>
    <row r="17">
      <c r="A17" t="n">
        <v>31</v>
      </c>
      <c r="B17" t="n">
        <v>1</v>
      </c>
      <c r="C17" t="inlineStr">
        <is>
          <t>31_1.txt</t>
        </is>
      </c>
      <c r="D17" t="n">
        <v>119.9966574747221</v>
      </c>
      <c r="E17" t="n">
        <v>11.59198955431752</v>
      </c>
      <c r="F17" t="n">
        <v>1392</v>
      </c>
      <c r="G17" t="n">
        <v>0.375</v>
      </c>
      <c r="H17" t="n">
        <v>0.333</v>
      </c>
      <c r="I17" t="n">
        <v>0.375</v>
      </c>
      <c r="K17" t="n">
        <v>0.08626646834990834</v>
      </c>
      <c r="L17" t="n">
        <v>0.04313323417495417</v>
      </c>
      <c r="M17" t="inlineStr">
        <is>
          <t>eta/xi</t>
        </is>
      </c>
      <c r="N17" t="n">
        <v>6.416021485155336</v>
      </c>
      <c r="O17" t="n">
        <v>6.940401617662846</v>
      </c>
      <c r="P17" t="n">
        <v>9.249490632434743e-05</v>
      </c>
      <c r="Q17" t="n">
        <v>6.987897184984604e-05</v>
      </c>
      <c r="R17" t="n">
        <v>6.416497883598822</v>
      </c>
      <c r="S17" t="n">
        <v>6.940197558548168</v>
      </c>
      <c r="T17" t="n">
        <v>6.415908784185648</v>
      </c>
      <c r="U17" t="n">
        <v>6.940881048816501</v>
      </c>
      <c r="V17" t="n">
        <v>0.01716413844132508</v>
      </c>
      <c r="W17" t="n">
        <v>0.01925427058592372</v>
      </c>
      <c r="X17" t="n">
        <v>0.8600619277088501</v>
      </c>
      <c r="Y17" t="n">
        <v>0.8619238058897677</v>
      </c>
      <c r="Z17" t="n">
        <v>0.8545990672968665</v>
      </c>
      <c r="AA17" t="n">
        <v>1.907013515592487</v>
      </c>
      <c r="AB17" t="n">
        <v>1.886362067250293</v>
      </c>
      <c r="AC17" t="n">
        <v>0.02041124724243584</v>
      </c>
      <c r="AD17" t="n">
        <v>6</v>
      </c>
      <c r="AE17" t="n">
        <v>0.07074047984994192</v>
      </c>
      <c r="AF17" t="n">
        <v>29.84835474081908</v>
      </c>
      <c r="AG17" t="n">
        <v>33.99176521971915</v>
      </c>
      <c r="AH17" t="n">
        <v>2.818048140233296</v>
      </c>
    </row>
    <row r="18">
      <c r="A18" t="n">
        <v>31</v>
      </c>
      <c r="B18" t="n">
        <v>2</v>
      </c>
      <c r="C18" t="inlineStr">
        <is>
          <t>31_2.txt</t>
        </is>
      </c>
      <c r="D18" t="n">
        <v>119.996650477307</v>
      </c>
      <c r="E18" t="n">
        <v>11.55865596650382</v>
      </c>
      <c r="F18" t="n">
        <v>1388</v>
      </c>
      <c r="G18" t="n">
        <v>0.383</v>
      </c>
      <c r="H18" t="n">
        <v>0.342</v>
      </c>
      <c r="I18" t="n">
        <v>0.383</v>
      </c>
      <c r="K18" t="n">
        <v>0.08651524908241326</v>
      </c>
      <c r="L18" t="n">
        <v>0.04325762454120663</v>
      </c>
      <c r="M18" t="inlineStr">
        <is>
          <t>eta/xi</t>
        </is>
      </c>
      <c r="N18" t="n">
        <v>6.420163033663504</v>
      </c>
      <c r="O18" t="n">
        <v>6.864908186667023</v>
      </c>
      <c r="P18" t="n">
        <v>1.773609350452787e-05</v>
      </c>
      <c r="Q18" t="n">
        <v>6.66488416354305e-05</v>
      </c>
      <c r="R18" t="n">
        <v>6.420535589919928</v>
      </c>
      <c r="S18" t="n">
        <v>6.864507310666061</v>
      </c>
      <c r="T18" t="n">
        <v>6.419868321496073</v>
      </c>
      <c r="U18" t="n">
        <v>6.865539021045906</v>
      </c>
      <c r="V18" t="n">
        <v>0.02953025114951832</v>
      </c>
      <c r="W18" t="n">
        <v>0.03218198515573574</v>
      </c>
      <c r="X18" t="n">
        <v>0.8603818826614403</v>
      </c>
      <c r="Y18" t="n">
        <v>0.8613913837169879</v>
      </c>
      <c r="Z18" t="n">
        <v>0.874626530557455</v>
      </c>
      <c r="AA18" t="n">
        <v>2.248478692227791</v>
      </c>
      <c r="AB18" t="n">
        <v>2.212442707606415</v>
      </c>
      <c r="AC18" t="n">
        <v>0.02818500148928369</v>
      </c>
      <c r="AD18" t="n">
        <v>5</v>
      </c>
      <c r="AE18" t="n">
        <v>0.07899951716287987</v>
      </c>
      <c r="AF18" t="n">
        <v>27.76793054446163</v>
      </c>
      <c r="AG18" t="n">
        <v>33.9917106244292</v>
      </c>
      <c r="AH18" t="n">
        <v>2.839011829882919</v>
      </c>
    </row>
    <row r="19">
      <c r="A19" t="n">
        <v>31</v>
      </c>
      <c r="B19" t="n">
        <v>3</v>
      </c>
      <c r="C19" t="inlineStr">
        <is>
          <t>31_3.txt</t>
        </is>
      </c>
      <c r="D19" t="n">
        <v>120</v>
      </c>
      <c r="E19" t="n">
        <v>11.43333333333337</v>
      </c>
      <c r="F19" t="n">
        <v>1373</v>
      </c>
      <c r="G19" t="n">
        <v>0.342</v>
      </c>
      <c r="H19" t="n">
        <v>0.3</v>
      </c>
      <c r="I19" t="n">
        <v>0.342</v>
      </c>
      <c r="K19" t="n">
        <v>0.08746355685131169</v>
      </c>
      <c r="L19" t="n">
        <v>0.04373177842565584</v>
      </c>
      <c r="M19" t="inlineStr">
        <is>
          <t>eta/xi</t>
        </is>
      </c>
      <c r="N19" t="n">
        <v>6.416520971203605</v>
      </c>
      <c r="O19" t="n">
        <v>6.939540288135056</v>
      </c>
      <c r="P19" t="n">
        <v>9.256217553810231e-05</v>
      </c>
      <c r="Q19" t="n">
        <v>6.894611478980295e-05</v>
      </c>
      <c r="R19" t="n">
        <v>6.416974802661928</v>
      </c>
      <c r="S19" t="n">
        <v>6.939347519927553</v>
      </c>
      <c r="T19" t="n">
        <v>6.416432472345639</v>
      </c>
      <c r="U19" t="n">
        <v>6.940006170033689</v>
      </c>
      <c r="V19" t="n">
        <v>0.0122455211095255</v>
      </c>
      <c r="W19" t="n">
        <v>0.01276679585590262</v>
      </c>
      <c r="X19" t="n">
        <v>0.8602598229606503</v>
      </c>
      <c r="Y19" t="n">
        <v>0.8615580132307462</v>
      </c>
      <c r="Z19" t="n">
        <v>0.8549443235667974</v>
      </c>
      <c r="AA19" t="n">
        <v>1.911975270563598</v>
      </c>
      <c r="AB19" t="n">
        <v>1.862202380952387</v>
      </c>
      <c r="AC19" t="n">
        <v>0.01836143100431118</v>
      </c>
      <c r="AD19" t="n">
        <v>6</v>
      </c>
      <c r="AE19" t="n">
        <v>0.0748408079637695</v>
      </c>
      <c r="AF19" t="n">
        <v>27.66161195062917</v>
      </c>
      <c r="AG19" t="n">
        <v>33.99055055726848</v>
      </c>
      <c r="AH19" t="n">
        <v>2.848343645833319</v>
      </c>
    </row>
    <row r="20">
      <c r="A20" t="n">
        <v>31</v>
      </c>
      <c r="B20" t="n">
        <v>4</v>
      </c>
      <c r="C20" t="inlineStr">
        <is>
          <t>31_4.txt</t>
        </is>
      </c>
      <c r="D20" t="n">
        <v>120.003380376912</v>
      </c>
      <c r="E20" t="n">
        <v>11.44134436619718</v>
      </c>
      <c r="F20" t="n">
        <v>1374</v>
      </c>
      <c r="G20" t="n">
        <v>0.392</v>
      </c>
      <c r="H20" t="n">
        <v>0.35</v>
      </c>
      <c r="I20" t="n">
        <v>0.392</v>
      </c>
      <c r="K20" t="n">
        <v>0.08740231637065701</v>
      </c>
      <c r="L20" t="n">
        <v>0.04370115818532851</v>
      </c>
      <c r="M20" t="inlineStr">
        <is>
          <t>eta/xi</t>
        </is>
      </c>
      <c r="N20" t="n">
        <v>6.416838539061854</v>
      </c>
      <c r="O20" t="n">
        <v>6.931491266690825</v>
      </c>
      <c r="P20" t="n">
        <v>7.470179912338892e-05</v>
      </c>
      <c r="Q20" t="n">
        <v>5.344469608337121e-05</v>
      </c>
      <c r="R20" t="n">
        <v>6.417298610555499</v>
      </c>
      <c r="S20" t="n">
        <v>6.931204975417764</v>
      </c>
      <c r="T20" t="n">
        <v>6.416677236700844</v>
      </c>
      <c r="U20" t="n">
        <v>6.931976613562526</v>
      </c>
      <c r="V20" t="n">
        <v>0.02085210771867061</v>
      </c>
      <c r="W20" t="n">
        <v>0.02041704284716799</v>
      </c>
      <c r="X20" t="n">
        <v>0.8606757694719602</v>
      </c>
      <c r="Y20" t="n">
        <v>0.862026547152104</v>
      </c>
      <c r="Z20" t="n">
        <v>0.8570158669140517</v>
      </c>
      <c r="AA20" t="n">
        <v>1.943057806391207</v>
      </c>
      <c r="AB20" t="n">
        <v>1.880006564386317</v>
      </c>
      <c r="AC20" t="n">
        <v>0.02668258445194208</v>
      </c>
      <c r="AD20" t="n">
        <v>6</v>
      </c>
      <c r="AE20" t="n">
        <v>0.07041440932623012</v>
      </c>
      <c r="AF20" t="n">
        <v>23.66490488497397</v>
      </c>
      <c r="AG20" t="n">
        <v>33.99129855686867</v>
      </c>
      <c r="AH20" t="n">
        <v>2.798040880477303</v>
      </c>
    </row>
    <row r="21">
      <c r="A21" t="n">
        <v>31</v>
      </c>
      <c r="B21" t="n">
        <v>5</v>
      </c>
      <c r="C21" t="inlineStr">
        <is>
          <t>31_5.txt</t>
        </is>
      </c>
      <c r="D21" t="n">
        <v>120.0034237781392</v>
      </c>
      <c r="E21" t="n">
        <v>11.34967617689017</v>
      </c>
      <c r="F21" t="n">
        <v>1363</v>
      </c>
      <c r="G21" t="n">
        <v>0.333</v>
      </c>
      <c r="H21" t="n">
        <v>0.283</v>
      </c>
      <c r="I21" t="n">
        <v>0.333</v>
      </c>
      <c r="K21" t="n">
        <v>0.08810824065942661</v>
      </c>
      <c r="L21" t="n">
        <v>0.04405412032971331</v>
      </c>
      <c r="M21" t="inlineStr">
        <is>
          <t>eta/xi</t>
        </is>
      </c>
      <c r="N21" t="n">
        <v>6.423031687879468</v>
      </c>
      <c r="O21" t="n">
        <v>6.919824957304362</v>
      </c>
      <c r="P21" t="n">
        <v>0.0001139826752787343</v>
      </c>
      <c r="Q21" t="n">
        <v>4.606243460436588e-06</v>
      </c>
      <c r="R21" t="n">
        <v>6.423403749896802</v>
      </c>
      <c r="S21" t="n">
        <v>6.919657758086957</v>
      </c>
      <c r="T21" t="n">
        <v>6.423083113957236</v>
      </c>
      <c r="U21" t="n">
        <v>6.920002372178169</v>
      </c>
      <c r="V21" t="n">
        <v>0.04999342506413433</v>
      </c>
      <c r="W21" t="n">
        <v>0.05201458989241599</v>
      </c>
      <c r="X21" t="n">
        <v>0.8615592818025768</v>
      </c>
      <c r="Y21" t="n">
        <v>0.8591673752061399</v>
      </c>
      <c r="Z21" t="n">
        <v>0.8615686972835227</v>
      </c>
      <c r="AA21" t="n">
        <v>2.012909718277053</v>
      </c>
      <c r="AB21" t="n">
        <v>1.97375320970043</v>
      </c>
      <c r="AC21" t="n">
        <v>0.02512745038215587</v>
      </c>
      <c r="AD21" t="n">
        <v>5</v>
      </c>
      <c r="AE21" t="n">
        <v>0.07170869033442316</v>
      </c>
      <c r="AF21" t="n">
        <v>28.36699219651659</v>
      </c>
      <c r="AG21" t="n">
        <v>33.99230721107831</v>
      </c>
      <c r="AH21" t="n">
        <v>2.782466521041383</v>
      </c>
    </row>
    <row r="22">
      <c r="A22" t="n">
        <v>33.5</v>
      </c>
      <c r="B22" t="n">
        <v>1</v>
      </c>
      <c r="C22" t="inlineStr">
        <is>
          <t>33.5_1.txt</t>
        </is>
      </c>
      <c r="D22" t="n">
        <v>120</v>
      </c>
      <c r="E22" t="n">
        <v>14.47500000000005</v>
      </c>
      <c r="F22" t="n">
        <v>1738</v>
      </c>
      <c r="G22" t="n">
        <v>0.375</v>
      </c>
      <c r="H22" t="n">
        <v>0.325</v>
      </c>
      <c r="I22" t="n">
        <v>0.375</v>
      </c>
      <c r="K22" t="n">
        <v>0.06908462867012068</v>
      </c>
      <c r="L22" t="n">
        <v>0.03454231433506034</v>
      </c>
      <c r="M22" t="inlineStr">
        <is>
          <t>eta/xi</t>
        </is>
      </c>
      <c r="N22" t="n">
        <v>6.421743849621168</v>
      </c>
      <c r="O22" t="n">
        <v>6.769363795052784</v>
      </c>
      <c r="P22" t="n">
        <v>5.604755136401351e-05</v>
      </c>
      <c r="Q22" t="n">
        <v>3.326583696505736e-05</v>
      </c>
      <c r="R22" t="n">
        <v>6.422297628262515</v>
      </c>
      <c r="S22" t="n">
        <v>6.768909113803261</v>
      </c>
      <c r="T22" t="n">
        <v>6.421419647402231</v>
      </c>
      <c r="U22" t="n">
        <v>6.769927239567054</v>
      </c>
      <c r="V22" t="n">
        <v>0.01912767192541798</v>
      </c>
      <c r="W22" t="n">
        <v>0.02029271997419417</v>
      </c>
      <c r="X22" t="n">
        <v>0.9014886528786005</v>
      </c>
      <c r="Y22" t="n">
        <v>0.9022227263706413</v>
      </c>
      <c r="Z22" t="n">
        <v>0.89993314678958</v>
      </c>
      <c r="AA22" t="n">
        <v>2.876704898961909</v>
      </c>
      <c r="AB22" t="n">
        <v>2.826190476190484</v>
      </c>
      <c r="AC22" t="n">
        <v>0.02137338572935754</v>
      </c>
      <c r="AD22" t="n">
        <v>5</v>
      </c>
      <c r="AE22" t="n">
        <v>0.04518035171341746</v>
      </c>
      <c r="AF22" t="n">
        <v>26.73955706825366</v>
      </c>
      <c r="AG22" t="n">
        <v>36.49837352117377</v>
      </c>
      <c r="AH22" t="n">
        <v>2.817689444444436</v>
      </c>
    </row>
    <row r="23">
      <c r="A23" t="n">
        <v>33.5</v>
      </c>
      <c r="B23" t="n">
        <v>2</v>
      </c>
      <c r="C23" t="inlineStr">
        <is>
          <t>33.5_2.txt</t>
        </is>
      </c>
      <c r="D23" t="n">
        <v>120.0026786312194</v>
      </c>
      <c r="E23" t="n">
        <v>14.54967522321432</v>
      </c>
      <c r="F23" t="n">
        <v>1747</v>
      </c>
      <c r="G23" t="n">
        <v>0.383</v>
      </c>
      <c r="H23" t="n">
        <v>0.342</v>
      </c>
      <c r="I23" t="n">
        <v>0.383</v>
      </c>
      <c r="K23" t="n">
        <v>0.06873005648981624</v>
      </c>
      <c r="L23" t="n">
        <v>0.03436502824490812</v>
      </c>
      <c r="M23" t="inlineStr">
        <is>
          <t>eta/xi</t>
        </is>
      </c>
      <c r="N23" t="n">
        <v>6.41925951964308</v>
      </c>
      <c r="O23" t="n">
        <v>6.787317921324783</v>
      </c>
      <c r="P23" t="n">
        <v>5.624542128090937e-05</v>
      </c>
      <c r="Q23" t="n">
        <v>5.48914851927762e-06</v>
      </c>
      <c r="R23" t="n">
        <v>6.419484564137624</v>
      </c>
      <c r="S23" t="n">
        <v>6.787145316867722</v>
      </c>
      <c r="T23" t="n">
        <v>6.419251279691068</v>
      </c>
      <c r="U23" t="n">
        <v>6.787481373349887</v>
      </c>
      <c r="V23" t="n">
        <v>0.05384611148271622</v>
      </c>
      <c r="W23" t="n">
        <v>0.05623540121756499</v>
      </c>
      <c r="X23" t="n">
        <v>0.9013015681994209</v>
      </c>
      <c r="Y23" t="n">
        <v>0.9010245091892092</v>
      </c>
      <c r="Z23" t="n">
        <v>0.8944858672517946</v>
      </c>
      <c r="AA23" t="n">
        <v>2.716960122173217</v>
      </c>
      <c r="AB23" t="n">
        <v>2.681130628188781</v>
      </c>
      <c r="AC23" t="n">
        <v>0.03255482499955424</v>
      </c>
      <c r="AD23" t="n">
        <v>5</v>
      </c>
      <c r="AE23" t="n">
        <v>0.05635864830822367</v>
      </c>
      <c r="AF23" t="n">
        <v>26.0116886088735</v>
      </c>
      <c r="AG23" t="n">
        <v>36.49756741153237</v>
      </c>
      <c r="AH23" t="n">
        <v>2.855560541837184</v>
      </c>
    </row>
    <row r="24">
      <c r="A24" t="n">
        <v>33.5</v>
      </c>
      <c r="B24" t="n">
        <v>3</v>
      </c>
      <c r="C24" t="inlineStr">
        <is>
          <t>33.5_3.txt</t>
        </is>
      </c>
      <c r="D24" t="n">
        <v>120.0027103943624</v>
      </c>
      <c r="E24" t="n">
        <v>14.38300846979112</v>
      </c>
      <c r="F24" t="n">
        <v>1727</v>
      </c>
      <c r="G24" t="n">
        <v>0.375</v>
      </c>
      <c r="H24" t="n">
        <v>0.325</v>
      </c>
      <c r="I24" t="n">
        <v>0.375</v>
      </c>
      <c r="K24" t="n">
        <v>0.0695264834266292</v>
      </c>
      <c r="L24" t="n">
        <v>0.0347632417133146</v>
      </c>
      <c r="M24" t="inlineStr">
        <is>
          <t>eta/xi</t>
        </is>
      </c>
      <c r="N24" t="n">
        <v>6.417782615925995</v>
      </c>
      <c r="O24" t="n">
        <v>6.780731021802973</v>
      </c>
      <c r="P24" t="n">
        <v>4.876013347976382e-05</v>
      </c>
      <c r="Q24" t="n">
        <v>3.116459112106895e-06</v>
      </c>
      <c r="R24" t="n">
        <v>6.418057561792557</v>
      </c>
      <c r="S24" t="n">
        <v>6.78043687379841</v>
      </c>
      <c r="T24" t="n">
        <v>6.417684351633804</v>
      </c>
      <c r="U24" t="n">
        <v>6.781023883599742</v>
      </c>
      <c r="V24" t="n">
        <v>0.04316218865051998</v>
      </c>
      <c r="W24" t="n">
        <v>0.04278542394425253</v>
      </c>
      <c r="X24" t="n">
        <v>0.9023699936386814</v>
      </c>
      <c r="Y24" t="n">
        <v>0.9013487496188365</v>
      </c>
      <c r="Z24" t="n">
        <v>0.8958121959594449</v>
      </c>
      <c r="AA24" t="n">
        <v>2.755212542079474</v>
      </c>
      <c r="AB24" t="n">
        <v>2.71517676857305</v>
      </c>
      <c r="AC24" t="n">
        <v>0.02750873940820282</v>
      </c>
      <c r="AD24" t="n">
        <v>5</v>
      </c>
      <c r="AE24" t="n">
        <v>0.04984693143475141</v>
      </c>
      <c r="AF24" t="n">
        <v>25.63680734534137</v>
      </c>
      <c r="AG24" t="n">
        <v>36.49520842801346</v>
      </c>
      <c r="AH24" t="n">
        <v>2.885436028314988</v>
      </c>
    </row>
    <row r="25">
      <c r="A25" t="n">
        <v>33.5</v>
      </c>
      <c r="B25" t="n">
        <v>4</v>
      </c>
      <c r="C25" t="inlineStr">
        <is>
          <t>33.5_4.txt</t>
        </is>
      </c>
      <c r="D25" t="n">
        <v>119.997309477366</v>
      </c>
      <c r="E25" t="n">
        <v>14.5503262331839</v>
      </c>
      <c r="F25" t="n">
        <v>1747</v>
      </c>
      <c r="G25" t="n">
        <v>0.317</v>
      </c>
      <c r="H25" t="n">
        <v>0.267</v>
      </c>
      <c r="I25" t="n">
        <v>0.317</v>
      </c>
      <c r="K25" t="n">
        <v>0.06872698137306163</v>
      </c>
      <c r="L25" t="n">
        <v>0.03436349068653081</v>
      </c>
      <c r="M25" t="inlineStr">
        <is>
          <t>eta/xi</t>
        </is>
      </c>
      <c r="N25" t="n">
        <v>6.420764610378964</v>
      </c>
      <c r="O25" t="n">
        <v>6.767427938047227</v>
      </c>
      <c r="P25" t="n">
        <v>3.810089323730281e-05</v>
      </c>
      <c r="Q25" t="n">
        <v>7.944068017184946e-06</v>
      </c>
      <c r="R25" t="n">
        <v>6.421243794702987</v>
      </c>
      <c r="S25" t="n">
        <v>6.766936831290622</v>
      </c>
      <c r="T25" t="n">
        <v>6.420445287349379</v>
      </c>
      <c r="U25" t="n">
        <v>6.767940193986386</v>
      </c>
      <c r="V25" t="n">
        <v>0.02073231823338324</v>
      </c>
      <c r="W25" t="n">
        <v>0.02111349972169011</v>
      </c>
      <c r="X25" t="n">
        <v>0.9006405851576985</v>
      </c>
      <c r="Y25" t="n">
        <v>0.9002398630030105</v>
      </c>
      <c r="Z25" t="n">
        <v>0.9001734870707122</v>
      </c>
      <c r="AA25" t="n">
        <v>2.88464316870847</v>
      </c>
      <c r="AB25" t="n">
        <v>2.848873398462532</v>
      </c>
      <c r="AC25" t="n">
        <v>0.02982282988241295</v>
      </c>
      <c r="AD25" t="n">
        <v>5</v>
      </c>
      <c r="AE25" t="n">
        <v>0.04939963163100333</v>
      </c>
      <c r="AF25" t="n">
        <v>27.2844859900746</v>
      </c>
      <c r="AG25" t="n">
        <v>36.494663052873</v>
      </c>
      <c r="AH25" t="n">
        <v>2.832537514013451</v>
      </c>
    </row>
    <row r="26">
      <c r="A26" t="n">
        <v>33.5</v>
      </c>
      <c r="B26" t="n">
        <v>5</v>
      </c>
      <c r="C26" t="inlineStr">
        <is>
          <t>33.5_5.txt</t>
        </is>
      </c>
      <c r="D26" t="n">
        <v>119.9972912575337</v>
      </c>
      <c r="E26" t="n">
        <v>14.39199153498867</v>
      </c>
      <c r="F26" t="n">
        <v>1728</v>
      </c>
      <c r="G26" t="n">
        <v>0.375</v>
      </c>
      <c r="H26" t="n">
        <v>0.325</v>
      </c>
      <c r="I26" t="n">
        <v>0.375</v>
      </c>
      <c r="K26" t="n">
        <v>0.06948308700494155</v>
      </c>
      <c r="L26" t="n">
        <v>0.03474154350247077</v>
      </c>
      <c r="M26" t="inlineStr">
        <is>
          <t>eta/xi</t>
        </is>
      </c>
      <c r="N26" t="n">
        <v>6.42261515264997</v>
      </c>
      <c r="O26" t="n">
        <v>6.711443944513029</v>
      </c>
      <c r="P26" t="n">
        <v>5.203468199077577e-05</v>
      </c>
      <c r="Q26" t="n">
        <v>7.228047325114062e-06</v>
      </c>
      <c r="R26" t="n">
        <v>6.423315467264911</v>
      </c>
      <c r="S26" t="n">
        <v>6.710759121228544</v>
      </c>
      <c r="T26" t="n">
        <v>6.422149103999771</v>
      </c>
      <c r="U26" t="n">
        <v>6.71211951671145</v>
      </c>
      <c r="V26" t="n">
        <v>0.04166000646648661</v>
      </c>
      <c r="W26" t="n">
        <v>0.04302428561511379</v>
      </c>
      <c r="X26" t="n">
        <v>0.9010156565794638</v>
      </c>
      <c r="Y26" t="n">
        <v>0.9028194016902032</v>
      </c>
      <c r="Z26" t="n">
        <v>0.9157814974237728</v>
      </c>
      <c r="AA26" t="n">
        <v>3.46225870886905</v>
      </c>
      <c r="AB26" t="n">
        <v>3.3934099322799</v>
      </c>
      <c r="AC26" t="n">
        <v>0.04151175669042453</v>
      </c>
      <c r="AD26" t="n">
        <v>4</v>
      </c>
      <c r="AE26" t="n">
        <v>0.05249476312905851</v>
      </c>
      <c r="AF26" t="n">
        <v>25.48933209686025</v>
      </c>
      <c r="AG26" t="n">
        <v>36.49512014113628</v>
      </c>
      <c r="AH26" t="n">
        <v>2.887538970403822</v>
      </c>
    </row>
    <row r="27">
      <c r="A27" t="n">
        <v>36</v>
      </c>
      <c r="B27" t="n">
        <v>1</v>
      </c>
      <c r="C27" t="inlineStr">
        <is>
          <t>36_1.txt</t>
        </is>
      </c>
      <c r="D27" t="n">
        <v>120</v>
      </c>
      <c r="E27" t="n">
        <v>19.43333333333339</v>
      </c>
      <c r="F27" t="n">
        <v>2333</v>
      </c>
      <c r="G27" t="n">
        <v>0.467</v>
      </c>
      <c r="H27" t="n">
        <v>0.258</v>
      </c>
      <c r="I27" t="n">
        <v>0.467</v>
      </c>
      <c r="K27" t="n">
        <v>0.05145797598627772</v>
      </c>
      <c r="L27" t="n">
        <v>0.02572898799313886</v>
      </c>
      <c r="M27" t="inlineStr">
        <is>
          <t>eta/xi</t>
        </is>
      </c>
      <c r="N27" t="n">
        <v>6.417541656344358</v>
      </c>
      <c r="O27" t="n">
        <v>6.614649206854763</v>
      </c>
      <c r="P27" t="n">
        <v>4.174248517063717e-06</v>
      </c>
      <c r="Q27" t="n">
        <v>6.673050835015459e-06</v>
      </c>
      <c r="R27" t="n">
        <v>6.418261744260622</v>
      </c>
      <c r="S27" t="n">
        <v>6.613812678083902</v>
      </c>
      <c r="T27" t="n">
        <v>6.416846162913492</v>
      </c>
      <c r="U27" t="n">
        <v>6.61544903576252</v>
      </c>
      <c r="V27" t="n">
        <v>0.05086566145344348</v>
      </c>
      <c r="W27" t="n">
        <v>0.05209739809295232</v>
      </c>
      <c r="X27" t="n">
        <v>0.9292739602454512</v>
      </c>
      <c r="Y27" t="n">
        <v>0.929363519564574</v>
      </c>
      <c r="Z27" t="n">
        <v>0.9412906789255927</v>
      </c>
      <c r="AA27" t="n">
        <v>5.073372366560941</v>
      </c>
      <c r="AB27" t="n">
        <v>4.827500000000015</v>
      </c>
      <c r="AC27" t="n">
        <v>0.06861560938920473</v>
      </c>
      <c r="AD27" t="n">
        <v>4</v>
      </c>
      <c r="AE27" t="n">
        <v>0.03290574476568527</v>
      </c>
      <c r="AF27" t="n">
        <v>23.93801973133429</v>
      </c>
      <c r="AG27" t="n">
        <v>38.99724167256017</v>
      </c>
      <c r="AH27" t="n">
        <v>2.838935185185167</v>
      </c>
    </row>
    <row r="28">
      <c r="A28" t="n">
        <v>36</v>
      </c>
      <c r="B28" t="n">
        <v>2</v>
      </c>
      <c r="C28" t="inlineStr">
        <is>
          <t>36_2.txt</t>
        </is>
      </c>
      <c r="D28" t="n">
        <v>120</v>
      </c>
      <c r="E28" t="n">
        <v>19.1416666666666</v>
      </c>
      <c r="F28" t="n">
        <v>2298</v>
      </c>
      <c r="G28" t="n">
        <v>0.5580000000000001</v>
      </c>
      <c r="H28" t="n">
        <v>0.342</v>
      </c>
      <c r="I28" t="n">
        <v>0.5580000000000001</v>
      </c>
      <c r="K28" t="n">
        <v>0.05224205485415778</v>
      </c>
      <c r="L28" t="n">
        <v>0.02612102742707889</v>
      </c>
      <c r="M28" t="inlineStr">
        <is>
          <t>eta/xi</t>
        </is>
      </c>
      <c r="N28" t="n">
        <v>6.424263794541415</v>
      </c>
      <c r="O28" t="n">
        <v>6.642209746120497</v>
      </c>
      <c r="P28" t="n">
        <v>1.920927228304947e-05</v>
      </c>
      <c r="Q28" t="n">
        <v>1.287192661303393e-05</v>
      </c>
      <c r="R28" t="n">
        <v>6.424649106718052</v>
      </c>
      <c r="S28" t="n">
        <v>6.641679824487276</v>
      </c>
      <c r="T28" t="n">
        <v>6.423816792059625</v>
      </c>
      <c r="U28" t="n">
        <v>6.642667130655219</v>
      </c>
      <c r="V28" t="n">
        <v>0.0490843674738208</v>
      </c>
      <c r="W28" t="n">
        <v>0.04899543006133889</v>
      </c>
      <c r="X28" t="n">
        <v>0.9300671503672832</v>
      </c>
      <c r="Y28" t="n">
        <v>0.9310293967159988</v>
      </c>
      <c r="Z28" t="n">
        <v>0.9354521132189569</v>
      </c>
      <c r="AA28" t="n">
        <v>4.588293532202393</v>
      </c>
      <c r="AB28" t="n">
        <v>4.479166666666651</v>
      </c>
      <c r="AC28" t="n">
        <v>0.0579411419107873</v>
      </c>
      <c r="AD28" t="n">
        <v>4</v>
      </c>
      <c r="AE28" t="n">
        <v>0.03070336720664251</v>
      </c>
      <c r="AF28" t="n">
        <v>26.39991235829326</v>
      </c>
      <c r="AG28" t="n">
        <v>38.99693382933852</v>
      </c>
      <c r="AH28" t="n">
        <v>2.784522152777779</v>
      </c>
    </row>
    <row r="29">
      <c r="A29" t="n">
        <v>36</v>
      </c>
      <c r="B29" t="n">
        <v>3</v>
      </c>
      <c r="C29" t="inlineStr">
        <is>
          <t>36_3.txt</t>
        </is>
      </c>
      <c r="D29" t="n">
        <v>120.0020244964065</v>
      </c>
      <c r="E29" t="n">
        <v>19.42467229017298</v>
      </c>
      <c r="F29" t="n">
        <v>2332</v>
      </c>
      <c r="G29" t="n">
        <v>0.333</v>
      </c>
      <c r="H29" t="n">
        <v>0.275</v>
      </c>
      <c r="I29" t="n">
        <v>0.333</v>
      </c>
      <c r="K29" t="n">
        <v>0.05148091998987824</v>
      </c>
      <c r="L29" t="n">
        <v>0.02574045999493912</v>
      </c>
      <c r="M29" t="inlineStr">
        <is>
          <t>eta/xi</t>
        </is>
      </c>
      <c r="N29" t="n">
        <v>6.422492751770414</v>
      </c>
      <c r="O29" t="n">
        <v>6.697406306635964</v>
      </c>
      <c r="P29" t="n">
        <v>2.119067810513187e-05</v>
      </c>
      <c r="Q29" t="n">
        <v>1.812243460497243e-05</v>
      </c>
      <c r="R29" t="n">
        <v>6.422659274452066</v>
      </c>
      <c r="S29" t="n">
        <v>6.697251071509564</v>
      </c>
      <c r="T29" t="n">
        <v>6.422409423493518</v>
      </c>
      <c r="U29" t="n">
        <v>6.697492826010239</v>
      </c>
      <c r="V29" t="n">
        <v>0.05665308743235593</v>
      </c>
      <c r="W29" t="n">
        <v>0.05597589205494596</v>
      </c>
      <c r="X29" t="n">
        <v>0.9299202319669935</v>
      </c>
      <c r="Y29" t="n">
        <v>0.9280954888905771</v>
      </c>
      <c r="Z29" t="n">
        <v>0.9195893905346038</v>
      </c>
      <c r="AA29" t="n">
        <v>3.637507071955997</v>
      </c>
      <c r="AB29" t="n">
        <v>3.600415448575053</v>
      </c>
      <c r="AC29" t="n">
        <v>0.04217800153491753</v>
      </c>
      <c r="AD29" t="n">
        <v>5</v>
      </c>
      <c r="AE29" t="n">
        <v>0.03740078483454575</v>
      </c>
      <c r="AF29" t="n">
        <v>25.48053597604175</v>
      </c>
      <c r="AG29" t="n">
        <v>38.99778801282394</v>
      </c>
      <c r="AH29" t="n">
        <v>2.868123893926624</v>
      </c>
    </row>
    <row r="30">
      <c r="A30" t="n">
        <v>36</v>
      </c>
      <c r="B30" t="n">
        <v>4</v>
      </c>
      <c r="C30" t="inlineStr">
        <is>
          <t>36_4.txt</t>
        </is>
      </c>
      <c r="D30" t="n">
        <v>119.9979891413634</v>
      </c>
      <c r="E30" t="n">
        <v>19.53366066191878</v>
      </c>
      <c r="F30" t="n">
        <v>2345</v>
      </c>
      <c r="G30" t="n">
        <v>0.358</v>
      </c>
      <c r="H30" t="n">
        <v>0.3</v>
      </c>
      <c r="I30" t="n">
        <v>0.358</v>
      </c>
      <c r="K30" t="n">
        <v>0.05119368137430162</v>
      </c>
      <c r="L30" t="n">
        <v>0.02559684068715081</v>
      </c>
      <c r="M30" t="inlineStr">
        <is>
          <t>eta/xi</t>
        </is>
      </c>
      <c r="N30" t="n">
        <v>6.413590492606336</v>
      </c>
      <c r="O30" t="n">
        <v>6.680793718601644</v>
      </c>
      <c r="P30" t="n">
        <v>5.712606157448619e-06</v>
      </c>
      <c r="Q30" t="n">
        <v>3.081173351970889e-05</v>
      </c>
      <c r="R30" t="n">
        <v>6.413786716169649</v>
      </c>
      <c r="S30" t="n">
        <v>6.680508350886227</v>
      </c>
      <c r="T30" t="n">
        <v>6.413420602398735</v>
      </c>
      <c r="U30" t="n">
        <v>6.680957551319701</v>
      </c>
      <c r="V30" t="n">
        <v>0.04545969922946386</v>
      </c>
      <c r="W30" t="n">
        <v>0.04452456504966921</v>
      </c>
      <c r="X30" t="n">
        <v>0.9294253322207489</v>
      </c>
      <c r="Y30" t="n">
        <v>0.9291935019315475</v>
      </c>
      <c r="Z30" t="n">
        <v>0.9216081971995688</v>
      </c>
      <c r="AA30" t="n">
        <v>3.74246978596568</v>
      </c>
      <c r="AB30" t="n">
        <v>3.68172836196063</v>
      </c>
      <c r="AC30" t="n">
        <v>0.02912120008512098</v>
      </c>
      <c r="AD30" t="n">
        <v>5</v>
      </c>
      <c r="AE30" t="n">
        <v>0.03358432083106119</v>
      </c>
      <c r="AF30" t="n">
        <v>25.27022139490114</v>
      </c>
      <c r="AG30" t="n">
        <v>38.99708676682145</v>
      </c>
      <c r="AH30" t="n">
        <v>2.897403824622964</v>
      </c>
    </row>
    <row r="31">
      <c r="A31" t="n">
        <v>36</v>
      </c>
      <c r="B31" t="n">
        <v>5</v>
      </c>
      <c r="C31" t="inlineStr">
        <is>
          <t>36_5.txt</t>
        </is>
      </c>
      <c r="D31" t="n">
        <v>120.0020017014462</v>
      </c>
      <c r="E31" t="n">
        <v>19.61633944954131</v>
      </c>
      <c r="F31" t="n">
        <v>2355</v>
      </c>
      <c r="G31" t="n">
        <v>0.367</v>
      </c>
      <c r="H31" t="n">
        <v>0.308</v>
      </c>
      <c r="I31" t="n">
        <v>0.367</v>
      </c>
      <c r="K31" t="n">
        <v>0.05097791066331608</v>
      </c>
      <c r="L31" t="n">
        <v>0.02548895533165804</v>
      </c>
      <c r="M31" t="inlineStr">
        <is>
          <t>eta/xi</t>
        </is>
      </c>
      <c r="N31" t="n">
        <v>6.422038427834031</v>
      </c>
      <c r="O31" t="n">
        <v>6.670551786057127</v>
      </c>
      <c r="P31" t="n">
        <v>1.628898022110192e-05</v>
      </c>
      <c r="Q31" t="n">
        <v>1.049081886561609e-05</v>
      </c>
      <c r="R31" t="n">
        <v>6.422367948819469</v>
      </c>
      <c r="S31" t="n">
        <v>6.670175826843217</v>
      </c>
      <c r="T31" t="n">
        <v>6.421648599174691</v>
      </c>
      <c r="U31" t="n">
        <v>6.670966215690854</v>
      </c>
      <c r="V31" t="n">
        <v>0.03468571536101029</v>
      </c>
      <c r="W31" t="n">
        <v>0.03480069466931738</v>
      </c>
      <c r="X31" t="n">
        <v>0.9290386759211672</v>
      </c>
      <c r="Y31" t="n">
        <v>0.9295010381698102</v>
      </c>
      <c r="Z31" t="n">
        <v>0.9268773717334895</v>
      </c>
      <c r="AA31" t="n">
        <v>4.023928561225587</v>
      </c>
      <c r="AB31" t="n">
        <v>3.898982580722035</v>
      </c>
      <c r="AC31" t="n">
        <v>0.03893065238660622</v>
      </c>
      <c r="AD31" t="n">
        <v>5</v>
      </c>
      <c r="AE31" t="n">
        <v>0.03826695909713676</v>
      </c>
      <c r="AF31" t="n">
        <v>24.59307783141422</v>
      </c>
      <c r="AG31" t="n">
        <v>38.99904177784065</v>
      </c>
      <c r="AH31" t="n">
        <v>2.899394117088311</v>
      </c>
    </row>
    <row r="32">
      <c r="A32" t="n">
        <v>39</v>
      </c>
      <c r="B32" t="n">
        <v>1</v>
      </c>
      <c r="C32" t="inlineStr">
        <is>
          <t>39_1.txt</t>
        </is>
      </c>
      <c r="D32" t="n">
        <v>120</v>
      </c>
      <c r="E32" t="n">
        <v>29.46666666666656</v>
      </c>
      <c r="F32" t="n">
        <v>3537</v>
      </c>
      <c r="G32" t="n">
        <v>0.508</v>
      </c>
      <c r="H32" t="n">
        <v>0.283</v>
      </c>
      <c r="I32" t="n">
        <v>0.508</v>
      </c>
      <c r="K32" t="n">
        <v>0.03393665158371053</v>
      </c>
      <c r="L32" t="n">
        <v>0.01696832579185526</v>
      </c>
      <c r="M32" t="inlineStr">
        <is>
          <t>eta/xi</t>
        </is>
      </c>
      <c r="N32" t="n">
        <v>6.415120334815577</v>
      </c>
      <c r="O32" t="n">
        <v>6.597573572297817</v>
      </c>
      <c r="P32" t="n">
        <v>1.277528100462888e-05</v>
      </c>
      <c r="Q32" t="n">
        <v>1.076913880782016e-05</v>
      </c>
      <c r="R32" t="n">
        <v>6.415200862979444</v>
      </c>
      <c r="S32" t="n">
        <v>6.59742454747801</v>
      </c>
      <c r="T32" t="n">
        <v>6.414993804012525</v>
      </c>
      <c r="U32" t="n">
        <v>6.597678285558225</v>
      </c>
      <c r="V32" t="n">
        <v>0.06378000036872797</v>
      </c>
      <c r="W32" t="n">
        <v>0.06144355125155499</v>
      </c>
      <c r="X32" t="n">
        <v>0.9519588531446084</v>
      </c>
      <c r="Y32" t="n">
        <v>0.9509077546689245</v>
      </c>
      <c r="Z32" t="n">
        <v>0.9454555829820946</v>
      </c>
      <c r="AA32" t="n">
        <v>5.480856430938042</v>
      </c>
      <c r="AB32" t="n">
        <v>5.427619047619027</v>
      </c>
      <c r="AC32" t="n">
        <v>0.0472151521985022</v>
      </c>
      <c r="AD32" t="n">
        <v>5</v>
      </c>
      <c r="AE32" t="n">
        <v>0.02157640504447295</v>
      </c>
      <c r="AF32" t="n">
        <v>25.98629765200791</v>
      </c>
      <c r="AG32" t="n">
        <v>41.99838043587184</v>
      </c>
      <c r="AH32" t="n">
        <v>2.818879259259246</v>
      </c>
    </row>
    <row r="33">
      <c r="A33" t="n">
        <v>39</v>
      </c>
      <c r="B33" t="n">
        <v>2</v>
      </c>
      <c r="C33" t="inlineStr">
        <is>
          <t>39_2.txt</t>
        </is>
      </c>
      <c r="D33" t="n">
        <v>119.9986573576799</v>
      </c>
      <c r="E33" t="n">
        <v>29.22532699300714</v>
      </c>
      <c r="F33" t="n">
        <v>3508</v>
      </c>
      <c r="G33" t="n">
        <v>0.5669999999999999</v>
      </c>
      <c r="H33" t="n">
        <v>0.35</v>
      </c>
      <c r="I33" t="n">
        <v>0.5669999999999999</v>
      </c>
      <c r="K33" t="n">
        <v>0.03421689687986293</v>
      </c>
      <c r="L33" t="n">
        <v>0.01710844843993146</v>
      </c>
      <c r="M33" t="inlineStr">
        <is>
          <t>eta/xi</t>
        </is>
      </c>
      <c r="N33" t="n">
        <v>6.426041554254645</v>
      </c>
      <c r="O33" t="n">
        <v>6.648667395155068</v>
      </c>
      <c r="P33" t="n">
        <v>2.63338897310561e-06</v>
      </c>
      <c r="Q33" t="n">
        <v>1.09965833465786e-05</v>
      </c>
      <c r="R33" t="n">
        <v>6.42610092628848</v>
      </c>
      <c r="S33" t="n">
        <v>6.648593497002571</v>
      </c>
      <c r="T33" t="n">
        <v>6.425991512078843</v>
      </c>
      <c r="U33" t="n">
        <v>6.648702129552055</v>
      </c>
      <c r="V33" t="n">
        <v>0.05489949561912393</v>
      </c>
      <c r="W33" t="n">
        <v>0.05445403021786389</v>
      </c>
      <c r="X33" t="n">
        <v>0.9509921551870093</v>
      </c>
      <c r="Y33" t="n">
        <v>0.9517955106793556</v>
      </c>
      <c r="Z33" t="n">
        <v>0.9341526369448474</v>
      </c>
      <c r="AA33" t="n">
        <v>4.491841539847481</v>
      </c>
      <c r="AB33" t="n">
        <v>4.409275524475547</v>
      </c>
      <c r="AC33" t="n">
        <v>0.02648906041428042</v>
      </c>
      <c r="AD33" t="n">
        <v>6</v>
      </c>
      <c r="AE33" t="n">
        <v>0.02306593722527294</v>
      </c>
      <c r="AF33" t="n">
        <v>25.73819481569856</v>
      </c>
      <c r="AG33" t="n">
        <v>41.9980668976988</v>
      </c>
      <c r="AH33" t="n">
        <v>2.795753974397813</v>
      </c>
    </row>
    <row r="34">
      <c r="A34" t="n">
        <v>39</v>
      </c>
      <c r="B34" t="n">
        <v>3</v>
      </c>
      <c r="C34" t="inlineStr">
        <is>
          <t>39_3.txt</t>
        </is>
      </c>
      <c r="D34" t="n">
        <v>119.9986517005427</v>
      </c>
      <c r="E34" t="n">
        <v>29.11699382022472</v>
      </c>
      <c r="F34" t="n">
        <v>3495</v>
      </c>
      <c r="G34" t="n">
        <v>0.55</v>
      </c>
      <c r="H34" t="n">
        <v>0.325</v>
      </c>
      <c r="I34" t="n">
        <v>0.55</v>
      </c>
      <c r="K34" t="n">
        <v>0.03434420483701852</v>
      </c>
      <c r="L34" t="n">
        <v>0.01717210241850926</v>
      </c>
      <c r="M34" t="inlineStr">
        <is>
          <t>eta/xi</t>
        </is>
      </c>
      <c r="N34" t="n">
        <v>6.421578418596004</v>
      </c>
      <c r="O34" t="n">
        <v>6.562351714992196</v>
      </c>
      <c r="P34" t="n">
        <v>1.851880913061876e-06</v>
      </c>
      <c r="Q34" t="n">
        <v>1.045261346011017e-05</v>
      </c>
      <c r="R34" t="n">
        <v>6.421985907088835</v>
      </c>
      <c r="S34" t="n">
        <v>6.561915739124434</v>
      </c>
      <c r="T34" t="n">
        <v>6.421181659598294</v>
      </c>
      <c r="U34" t="n">
        <v>6.562728984311098</v>
      </c>
      <c r="V34" t="n">
        <v>0.05036848949036564</v>
      </c>
      <c r="W34" t="n">
        <v>0.05012818398299924</v>
      </c>
      <c r="X34" t="n">
        <v>0.9502184208998368</v>
      </c>
      <c r="Y34" t="n">
        <v>0.9510299071295886</v>
      </c>
      <c r="Z34" t="n">
        <v>0.9575568660618005</v>
      </c>
      <c r="AA34" t="n">
        <v>7.103619973390456</v>
      </c>
      <c r="AB34" t="n">
        <v>6.998411966292134</v>
      </c>
      <c r="AC34" t="n">
        <v>0.08991351916718342</v>
      </c>
      <c r="AD34" t="n">
        <v>4</v>
      </c>
      <c r="AE34" t="n">
        <v>0.02355020481452702</v>
      </c>
      <c r="AF34" t="n">
        <v>25.59126228083953</v>
      </c>
      <c r="AG34" t="n">
        <v>41.99813013681212</v>
      </c>
      <c r="AH34" t="n">
        <v>2.873285400827091</v>
      </c>
    </row>
    <row r="35">
      <c r="A35" t="n">
        <v>39</v>
      </c>
      <c r="B35" t="n">
        <v>4</v>
      </c>
      <c r="C35" t="inlineStr">
        <is>
          <t>39_4.txt</t>
        </is>
      </c>
      <c r="D35" t="n">
        <v>120.0013441763559</v>
      </c>
      <c r="E35" t="n">
        <v>29.21633940072805</v>
      </c>
      <c r="F35" t="n">
        <v>3507</v>
      </c>
      <c r="G35" t="n">
        <v>0.542</v>
      </c>
      <c r="H35" t="n">
        <v>0.325</v>
      </c>
      <c r="I35" t="n">
        <v>0.542</v>
      </c>
      <c r="K35" t="n">
        <v>0.03422742275423733</v>
      </c>
      <c r="L35" t="n">
        <v>0.01711371137711867</v>
      </c>
      <c r="M35" t="inlineStr">
        <is>
          <t>eta/xi</t>
        </is>
      </c>
      <c r="N35" t="n">
        <v>6.422410153454862</v>
      </c>
      <c r="O35" t="n">
        <v>6.634001403148405</v>
      </c>
      <c r="P35" t="n">
        <v>1.185788665836185e-05</v>
      </c>
      <c r="Q35" t="n">
        <v>3.707319492285421e-06</v>
      </c>
      <c r="R35" t="n">
        <v>6.422494026495142</v>
      </c>
      <c r="S35" t="n">
        <v>6.633876629163597</v>
      </c>
      <c r="T35" t="n">
        <v>6.42227965202748</v>
      </c>
      <c r="U35" t="n">
        <v>6.634111948749356</v>
      </c>
      <c r="V35" t="n">
        <v>0.0409772443122367</v>
      </c>
      <c r="W35" t="n">
        <v>0.03977967765077021</v>
      </c>
      <c r="X35" t="n">
        <v>0.9503454321668433</v>
      </c>
      <c r="Y35" t="n">
        <v>0.95162039526107</v>
      </c>
      <c r="Z35" t="n">
        <v>0.9372273567113276</v>
      </c>
      <c r="AA35" t="n">
        <v>4.726093359003959</v>
      </c>
      <c r="AB35" t="n">
        <v>4.677923790854899</v>
      </c>
      <c r="AC35" t="n">
        <v>0.0403064423558169</v>
      </c>
      <c r="AD35" t="n">
        <v>6</v>
      </c>
      <c r="AE35" t="n">
        <v>0.02993400662813528</v>
      </c>
      <c r="AF35" t="n">
        <v>26.15849883322261</v>
      </c>
      <c r="AG35" t="n">
        <v>42.00020248977216</v>
      </c>
      <c r="AH35" t="n">
        <v>2.820437558048634</v>
      </c>
    </row>
    <row r="36">
      <c r="A36" t="n">
        <v>39</v>
      </c>
      <c r="B36" t="n">
        <v>5</v>
      </c>
      <c r="C36" t="inlineStr">
        <is>
          <t>39_5.txt</t>
        </is>
      </c>
      <c r="D36" t="n">
        <v>120.0013407971039</v>
      </c>
      <c r="E36" t="n">
        <v>29.29133938547495</v>
      </c>
      <c r="F36" t="n">
        <v>3516</v>
      </c>
      <c r="G36" t="n">
        <v>0.542</v>
      </c>
      <c r="H36" t="n">
        <v>0.317</v>
      </c>
      <c r="I36" t="n">
        <v>0.542</v>
      </c>
      <c r="K36" t="n">
        <v>0.03413978401055577</v>
      </c>
      <c r="L36" t="n">
        <v>0.01706989200527789</v>
      </c>
      <c r="M36" t="inlineStr">
        <is>
          <t>eta/xi</t>
        </is>
      </c>
      <c r="N36" t="n">
        <v>6.423075321674039</v>
      </c>
      <c r="O36" t="n">
        <v>6.594862040530971</v>
      </c>
      <c r="P36" t="n">
        <v>7.002081046980635e-06</v>
      </c>
      <c r="Q36" t="n">
        <v>3.716234042272504e-06</v>
      </c>
      <c r="R36" t="n">
        <v>6.423313103991005</v>
      </c>
      <c r="S36" t="n">
        <v>6.594609256837462</v>
      </c>
      <c r="T36" t="n">
        <v>6.42285512997094</v>
      </c>
      <c r="U36" t="n">
        <v>6.595104171410637</v>
      </c>
      <c r="V36" t="n">
        <v>0.0377438264232267</v>
      </c>
      <c r="W36" t="n">
        <v>0.03688734574174147</v>
      </c>
      <c r="X36" t="n">
        <v>0.9512711384444161</v>
      </c>
      <c r="Y36" t="n">
        <v>0.950715216498259</v>
      </c>
      <c r="Z36" t="n">
        <v>0.9485813899621062</v>
      </c>
      <c r="AA36" t="n">
        <v>5.821171780065416</v>
      </c>
      <c r="AB36" t="n">
        <v>5.763983216280942</v>
      </c>
      <c r="AC36" t="n">
        <v>0.06359761318403225</v>
      </c>
      <c r="AD36" t="n">
        <v>5</v>
      </c>
      <c r="AE36" t="n">
        <v>0.02850493429992135</v>
      </c>
      <c r="AF36" t="n">
        <v>25.74424313924681</v>
      </c>
      <c r="AG36" t="n">
        <v>41.99808635613009</v>
      </c>
      <c r="AH36" t="n">
        <v>2.856677996421085</v>
      </c>
    </row>
    <row r="37">
      <c r="A37" t="n">
        <v>42</v>
      </c>
      <c r="B37" t="n">
        <v>1</v>
      </c>
      <c r="C37" t="inlineStr">
        <is>
          <t>42_1.txt</t>
        </is>
      </c>
      <c r="D37" t="n">
        <v>120.0008936949819</v>
      </c>
      <c r="E37" t="n">
        <v>44.10800484081148</v>
      </c>
      <c r="F37" t="n">
        <v>5294</v>
      </c>
      <c r="G37" t="n">
        <v>0.65</v>
      </c>
      <c r="H37" t="n">
        <v>0.275</v>
      </c>
      <c r="I37" t="n">
        <v>0.65</v>
      </c>
      <c r="K37" t="n">
        <v>0.0226716217069682</v>
      </c>
      <c r="L37" t="n">
        <v>0.0113358108534841</v>
      </c>
      <c r="M37" t="inlineStr">
        <is>
          <t>eta/xi</t>
        </is>
      </c>
      <c r="N37" t="n">
        <v>6.413276571343618</v>
      </c>
      <c r="O37" t="n">
        <v>6.497925618080212</v>
      </c>
      <c r="P37" t="n">
        <v>4.814808246766944e-06</v>
      </c>
      <c r="Q37" t="n">
        <v>3.023458942319479e-06</v>
      </c>
      <c r="R37" t="n">
        <v>6.413632370375727</v>
      </c>
      <c r="S37" t="n">
        <v>6.49752678601874</v>
      </c>
      <c r="T37" t="n">
        <v>6.412914766976526</v>
      </c>
      <c r="U37" t="n">
        <v>6.498309914272952</v>
      </c>
      <c r="V37" t="n">
        <v>0.09363145033275072</v>
      </c>
      <c r="W37" t="n">
        <v>0.09230287776860652</v>
      </c>
      <c r="X37" t="n">
        <v>0.9660530297554869</v>
      </c>
      <c r="Y37" t="n">
        <v>0.9670566134351508</v>
      </c>
      <c r="Z37" t="n">
        <v>0.9741155296620057</v>
      </c>
      <c r="AA37" t="n">
        <v>11.81348211884456</v>
      </c>
      <c r="AB37" t="n">
        <v>11.25824948799099</v>
      </c>
      <c r="AC37" t="n">
        <v>0.3608412308935356</v>
      </c>
      <c r="AD37" t="n">
        <v>2</v>
      </c>
      <c r="AE37" t="n">
        <v>0.01377924768138579</v>
      </c>
      <c r="AF37" t="n">
        <v>25.48990039283572</v>
      </c>
      <c r="AG37" t="n">
        <v>44.99905160672445</v>
      </c>
      <c r="AH37" t="n">
        <v>2.867789232503774</v>
      </c>
    </row>
    <row r="38">
      <c r="A38" t="n">
        <v>42</v>
      </c>
      <c r="B38" t="n">
        <v>2</v>
      </c>
      <c r="C38" t="inlineStr">
        <is>
          <t>42_2.txt</t>
        </is>
      </c>
      <c r="D38" t="n">
        <v>119.9991054856095</v>
      </c>
      <c r="E38" t="n">
        <v>44.05032836377185</v>
      </c>
      <c r="F38" t="n">
        <v>5287</v>
      </c>
      <c r="G38" t="n">
        <v>0.667</v>
      </c>
      <c r="H38" t="n">
        <v>0.283</v>
      </c>
      <c r="I38" t="n">
        <v>0.667</v>
      </c>
      <c r="K38" t="n">
        <v>0.02270130637260871</v>
      </c>
      <c r="L38" t="n">
        <v>0.01135065318630435</v>
      </c>
      <c r="M38" t="inlineStr">
        <is>
          <t>eta/xi</t>
        </is>
      </c>
      <c r="N38" t="n">
        <v>6.420799403571884</v>
      </c>
      <c r="O38" t="n">
        <v>6.544851985735659</v>
      </c>
      <c r="P38" t="n">
        <v>8.58358869315623e-06</v>
      </c>
      <c r="Q38" t="n">
        <v>4.532468068418893e-06</v>
      </c>
      <c r="R38" t="n">
        <v>6.420874830401201</v>
      </c>
      <c r="S38" t="n">
        <v>6.544743293172469</v>
      </c>
      <c r="T38" t="n">
        <v>6.420693809479882</v>
      </c>
      <c r="U38" t="n">
        <v>6.544941998810398</v>
      </c>
      <c r="V38" t="n">
        <v>0.07296363575800915</v>
      </c>
      <c r="W38" t="n">
        <v>0.07187101202741428</v>
      </c>
      <c r="X38" t="n">
        <v>0.9666177663300093</v>
      </c>
      <c r="Y38" t="n">
        <v>0.9659624453072362</v>
      </c>
      <c r="Z38" t="n">
        <v>0.9624508171318982</v>
      </c>
      <c r="AA38" t="n">
        <v>8.061097822855436</v>
      </c>
      <c r="AB38" t="n">
        <v>7.725057584793135</v>
      </c>
      <c r="AC38" t="n">
        <v>0.09624981559358228</v>
      </c>
      <c r="AD38" t="n">
        <v>3</v>
      </c>
      <c r="AE38" t="n">
        <v>0.01210740597164372</v>
      </c>
      <c r="AF38" t="n">
        <v>25.87161203897618</v>
      </c>
      <c r="AG38" t="n">
        <v>44.99973312709823</v>
      </c>
      <c r="AH38" t="n">
        <v>2.825113965942976</v>
      </c>
    </row>
    <row r="39">
      <c r="A39" t="n">
        <v>42</v>
      </c>
      <c r="B39" t="n">
        <v>3</v>
      </c>
      <c r="C39" t="inlineStr">
        <is>
          <t>42_3.txt</t>
        </is>
      </c>
      <c r="D39" t="n">
        <v>120.0008951950406</v>
      </c>
      <c r="E39" t="n">
        <v>43.9913384930997</v>
      </c>
      <c r="F39" t="n">
        <v>5280</v>
      </c>
      <c r="G39" t="n">
        <v>0.6919999999999999</v>
      </c>
      <c r="H39" t="n">
        <v>0.317</v>
      </c>
      <c r="I39" t="n">
        <v>0.6919999999999999</v>
      </c>
      <c r="K39" t="n">
        <v>0.02273174752700139</v>
      </c>
      <c r="L39" t="n">
        <v>0.01136587376350069</v>
      </c>
      <c r="M39" t="inlineStr">
        <is>
          <t>eta/xi</t>
        </is>
      </c>
      <c r="N39" t="n">
        <v>6.421350394462943</v>
      </c>
      <c r="O39" t="n">
        <v>6.522598430860087</v>
      </c>
      <c r="P39" t="n">
        <v>7.605426665779902e-06</v>
      </c>
      <c r="Q39" t="n">
        <v>3.999705893154015e-06</v>
      </c>
      <c r="R39" t="n">
        <v>6.42150383371113</v>
      </c>
      <c r="S39" t="n">
        <v>6.522410264385575</v>
      </c>
      <c r="T39" t="n">
        <v>6.421176176442004</v>
      </c>
      <c r="U39" t="n">
        <v>6.522766216897608</v>
      </c>
      <c r="V39" t="n">
        <v>0.08851022930679901</v>
      </c>
      <c r="W39" t="n">
        <v>0.08777675868430894</v>
      </c>
      <c r="X39" t="n">
        <v>0.9663828303727455</v>
      </c>
      <c r="Y39" t="n">
        <v>0.9655950982865894</v>
      </c>
      <c r="Z39" t="n">
        <v>0.9691956454591708</v>
      </c>
      <c r="AA39" t="n">
        <v>9.8767347554032</v>
      </c>
      <c r="AB39" t="n">
        <v>9.633261469600919</v>
      </c>
      <c r="AC39" t="n">
        <v>0.1690648008224502</v>
      </c>
      <c r="AD39" t="n">
        <v>3</v>
      </c>
      <c r="AE39" t="n">
        <v>0.01062831606302156</v>
      </c>
      <c r="AF39" t="n">
        <v>25.61383415646831</v>
      </c>
      <c r="AG39" t="n">
        <v>44.99996929604519</v>
      </c>
      <c r="AH39" t="n">
        <v>2.852669086841814</v>
      </c>
    </row>
    <row r="40">
      <c r="A40" t="n">
        <v>42</v>
      </c>
      <c r="B40" t="n">
        <v>4</v>
      </c>
      <c r="C40" t="inlineStr">
        <is>
          <t>42_4.txt</t>
        </is>
      </c>
      <c r="D40" t="n">
        <v>120.0008931960789</v>
      </c>
      <c r="E40" t="n">
        <v>44.1413381094159</v>
      </c>
      <c r="F40" t="n">
        <v>5298</v>
      </c>
      <c r="G40" t="n">
        <v>0.642</v>
      </c>
      <c r="H40" t="n">
        <v>0.258</v>
      </c>
      <c r="I40" t="n">
        <v>0.642</v>
      </c>
      <c r="K40" t="n">
        <v>0.02265450126412655</v>
      </c>
      <c r="L40" t="n">
        <v>0.01132725063206327</v>
      </c>
      <c r="M40" t="inlineStr">
        <is>
          <t>eta/xi</t>
        </is>
      </c>
      <c r="N40" t="n">
        <v>6.420484457578584</v>
      </c>
      <c r="O40" t="n">
        <v>6.516431027036958</v>
      </c>
      <c r="P40" t="n">
        <v>9.558576484103298e-06</v>
      </c>
      <c r="Q40" t="n">
        <v>2.070241104323856e-06</v>
      </c>
      <c r="R40" t="n">
        <v>6.420712481768204</v>
      </c>
      <c r="S40" t="n">
        <v>6.516179955073533</v>
      </c>
      <c r="T40" t="n">
        <v>6.420233949823455</v>
      </c>
      <c r="U40" t="n">
        <v>6.516661593373251</v>
      </c>
      <c r="V40" t="n">
        <v>0.07970894101965356</v>
      </c>
      <c r="W40" t="n">
        <v>0.07935888221429448</v>
      </c>
      <c r="X40" t="n">
        <v>0.9644048634515564</v>
      </c>
      <c r="Y40" t="n">
        <v>0.9647912162617778</v>
      </c>
      <c r="Z40" t="n">
        <v>0.9707692077340231</v>
      </c>
      <c r="AA40" t="n">
        <v>10.42246748002639</v>
      </c>
      <c r="AB40" t="n">
        <v>10.15992437662826</v>
      </c>
      <c r="AC40" t="n">
        <v>0.2111263518302629</v>
      </c>
      <c r="AD40" t="n">
        <v>3</v>
      </c>
      <c r="AE40" t="n">
        <v>0.01336691577373279</v>
      </c>
      <c r="AF40" t="n">
        <v>25.82595222189316</v>
      </c>
      <c r="AG40" t="n">
        <v>45.00048228963789</v>
      </c>
      <c r="AH40" t="n">
        <v>2.859751376651456</v>
      </c>
    </row>
    <row r="41">
      <c r="A41" t="n">
        <v>42</v>
      </c>
      <c r="B41" t="n">
        <v>5</v>
      </c>
      <c r="C41" t="inlineStr">
        <is>
          <t>42_5.txt</t>
        </is>
      </c>
      <c r="D41" t="n">
        <v>120.0008902143191</v>
      </c>
      <c r="E41" t="n">
        <v>44.37467080860562</v>
      </c>
      <c r="F41" t="n">
        <v>5326</v>
      </c>
      <c r="G41" t="n">
        <v>0.5580000000000001</v>
      </c>
      <c r="H41" t="n">
        <v>0.333</v>
      </c>
      <c r="I41" t="n">
        <v>0.5580000000000001</v>
      </c>
      <c r="K41" t="n">
        <v>0.02253537844400344</v>
      </c>
      <c r="L41" t="n">
        <v>0.01126768922200172</v>
      </c>
      <c r="M41" t="inlineStr">
        <is>
          <t>eta/xi</t>
        </is>
      </c>
      <c r="N41" t="n">
        <v>6.42046442188578</v>
      </c>
      <c r="O41" t="n">
        <v>6.556904187619779</v>
      </c>
      <c r="P41" t="n">
        <v>3.914597167753442e-06</v>
      </c>
      <c r="Q41" t="n">
        <v>4.400012269645259e-06</v>
      </c>
      <c r="R41" t="n">
        <v>6.420572954099551</v>
      </c>
      <c r="S41" t="n">
        <v>6.556792142213403</v>
      </c>
      <c r="T41" t="n">
        <v>6.420367497215075</v>
      </c>
      <c r="U41" t="n">
        <v>6.556997373942457</v>
      </c>
      <c r="V41" t="n">
        <v>0.04725955310092936</v>
      </c>
      <c r="W41" t="n">
        <v>0.04667652867058236</v>
      </c>
      <c r="X41" t="n">
        <v>0.9655713719448118</v>
      </c>
      <c r="Y41" t="n">
        <v>0.9654020565010296</v>
      </c>
      <c r="Z41" t="n">
        <v>0.9588158667515572</v>
      </c>
      <c r="AA41" t="n">
        <v>7.329241549341206</v>
      </c>
      <c r="AB41" t="n">
        <v>7.207446531899155</v>
      </c>
      <c r="AC41" t="n">
        <v>0.08092431914521447</v>
      </c>
      <c r="AD41" t="n">
        <v>4</v>
      </c>
      <c r="AE41" t="n">
        <v>0.01297766216941955</v>
      </c>
      <c r="AF41" t="n">
        <v>25.77888196349729</v>
      </c>
      <c r="AG41" t="n">
        <v>44.99976267000697</v>
      </c>
      <c r="AH41" t="n">
        <v>2.855612459276106</v>
      </c>
    </row>
    <row r="42">
      <c r="B42" t="n">
        <v>1</v>
      </c>
      <c r="C42" t="inlineStr">
        <is>
          <t>Infinity_1.txt</t>
        </is>
      </c>
      <c r="D42" t="n">
        <v>119.9991109530583</v>
      </c>
      <c r="E42" t="n">
        <v>44.6919977773663</v>
      </c>
      <c r="F42" t="n">
        <v>5364</v>
      </c>
      <c r="G42" t="n">
        <v>0.3</v>
      </c>
      <c r="H42" t="n">
        <v>0.3</v>
      </c>
      <c r="K42" t="n">
        <v>0.02237537030636919</v>
      </c>
      <c r="L42" t="n">
        <v>0.0111876851531846</v>
      </c>
      <c r="M42" t="inlineStr">
        <is>
          <t>two-peak(A)</t>
        </is>
      </c>
      <c r="N42" t="n">
        <v>6.41998930261873</v>
      </c>
      <c r="R42" t="n">
        <v>6.41998930261873</v>
      </c>
      <c r="AF42" t="n">
        <v>25.01361924123383</v>
      </c>
      <c r="AH42" t="n">
        <v>2.951258083132673</v>
      </c>
    </row>
    <row r="43">
      <c r="B43" t="n">
        <v>2</v>
      </c>
      <c r="C43" t="inlineStr">
        <is>
          <t>Infinity_2.txt</t>
        </is>
      </c>
      <c r="D43" t="n">
        <v>119.9991109530583</v>
      </c>
      <c r="E43" t="n">
        <v>44.6919977773663</v>
      </c>
      <c r="F43" t="n">
        <v>5364</v>
      </c>
      <c r="G43" t="n">
        <v>0.3</v>
      </c>
      <c r="H43" t="n">
        <v>0.3</v>
      </c>
      <c r="K43" t="n">
        <v>0.02237537030636919</v>
      </c>
      <c r="L43" t="n">
        <v>0.0111876851531846</v>
      </c>
      <c r="M43" t="inlineStr">
        <is>
          <t>two-peak(A)</t>
        </is>
      </c>
      <c r="N43" t="n">
        <v>6.419999622308772</v>
      </c>
      <c r="R43" t="n">
        <v>6.419999622308772</v>
      </c>
      <c r="AF43" t="n">
        <v>24.98953740167238</v>
      </c>
      <c r="AH43" t="n">
        <v>2.961236023916456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3" customWidth="1" min="9" max="9"/>
    <col width="10" customWidth="1" min="10" max="10"/>
    <col width="10" customWidth="1" min="11" max="11"/>
    <col width="16" customWidth="1" min="12" max="12"/>
    <col width="15" customWidth="1" min="13" max="13"/>
    <col width="14" customWidth="1" min="14" max="14"/>
  </cols>
  <sheetData>
    <row r="1">
      <c r="A1" s="3" t="inlineStr">
        <is>
          <t>d / mm</t>
        </is>
      </c>
      <c r="B1" s="3" t="inlineStr">
        <is>
          <t>dd / mm</t>
        </is>
      </c>
      <c r="C1" s="3" t="inlineStr">
        <is>
          <t>f1 trial 1 / Hz</t>
        </is>
      </c>
      <c r="D1" s="3" t="inlineStr">
        <is>
          <t>f1 trial 2 / Hz</t>
        </is>
      </c>
      <c r="E1" s="3" t="inlineStr">
        <is>
          <t>f1 trial 3 / Hz</t>
        </is>
      </c>
      <c r="F1" s="3" t="inlineStr">
        <is>
          <t>f1 trial 4 / Hz</t>
        </is>
      </c>
      <c r="G1" s="3" t="inlineStr">
        <is>
          <t>f1 trial 5 / Hz</t>
        </is>
      </c>
      <c r="H1" s="3" t="inlineStr">
        <is>
          <t>mean / Hz</t>
        </is>
      </c>
      <c r="I1" s="3" t="inlineStr">
        <is>
          <t>half-range / Hz</t>
        </is>
      </c>
      <c r="J1" s="3" t="inlineStr">
        <is>
          <t>SD / Hz</t>
        </is>
      </c>
      <c r="K1" s="3" t="inlineStr">
        <is>
          <t>T mean / s</t>
        </is>
      </c>
      <c r="L1" s="3" t="inlineStr">
        <is>
          <t>half-bin 1/(2T) / Hz</t>
        </is>
      </c>
      <c r="M1" s="3" t="inlineStr">
        <is>
          <t>window spread / Hz</t>
        </is>
      </c>
      <c r="N1" s="3" t="inlineStr">
        <is>
          <t>adopted df1 / Hz</t>
        </is>
      </c>
    </row>
    <row r="2">
      <c r="A2" t="n">
        <v>24.5</v>
      </c>
      <c r="B2" t="n">
        <v>0.5</v>
      </c>
      <c r="C2" s="4" t="n">
        <v>6.419406301627559</v>
      </c>
      <c r="D2" s="4" t="n">
        <v>6.421293219437205</v>
      </c>
      <c r="E2" s="4" t="n">
        <v>6.419514099267027</v>
      </c>
      <c r="F2" s="4" t="n">
        <v>6.416411537105998</v>
      </c>
      <c r="G2" s="4" t="n">
        <v>6.420021950351175</v>
      </c>
      <c r="H2" s="4" t="n">
        <v>6.419329421557793</v>
      </c>
      <c r="I2" s="4" t="n">
        <v>0.002440841165603391</v>
      </c>
      <c r="J2" s="4" t="n">
        <v>0.001795143748860191</v>
      </c>
      <c r="K2" s="4" t="n">
        <v>9.740947559842219</v>
      </c>
      <c r="L2" s="4" t="n">
        <v>0.0514319447963549</v>
      </c>
      <c r="M2" s="4" t="n">
        <v>3.77372204801496e-05</v>
      </c>
      <c r="N2" s="4" t="n">
        <v>0.0514319447963549</v>
      </c>
    </row>
    <row r="3">
      <c r="A3" t="n">
        <v>26.5</v>
      </c>
      <c r="B3" t="n">
        <v>0.5</v>
      </c>
      <c r="C3" s="4" t="n">
        <v>6.425508812448881</v>
      </c>
      <c r="D3" s="4" t="n">
        <v>6.417539520165063</v>
      </c>
      <c r="E3" s="4" t="n">
        <v>6.422660710748663</v>
      </c>
      <c r="F3" s="4" t="n">
        <v>6.414453724921255</v>
      </c>
      <c r="G3" s="4" t="n">
        <v>6.422748361535323</v>
      </c>
      <c r="H3" s="4" t="n">
        <v>6.420582225963837</v>
      </c>
      <c r="I3" s="4" t="n">
        <v>0.005527543763812925</v>
      </c>
      <c r="J3" s="4" t="n">
        <v>0.004474932410557988</v>
      </c>
      <c r="K3" s="4" t="n">
        <v>9.448269174195707</v>
      </c>
      <c r="L3" s="4" t="n">
        <v>0.05292570486896046</v>
      </c>
      <c r="M3" s="4" t="n">
        <v>5.328431604940675e-05</v>
      </c>
      <c r="N3" s="4" t="n">
        <v>0.05292570486896046</v>
      </c>
    </row>
    <row r="4">
      <c r="A4" t="n">
        <v>28.5</v>
      </c>
      <c r="B4" t="n">
        <v>0.5</v>
      </c>
      <c r="C4" s="4" t="n">
        <v>6.419256013292665</v>
      </c>
      <c r="D4" s="4" t="n">
        <v>6.412910363605697</v>
      </c>
      <c r="E4" s="4" t="n">
        <v>6.422080844971271</v>
      </c>
      <c r="F4" s="4" t="n">
        <v>6.417958472568004</v>
      </c>
      <c r="G4" s="4" t="n">
        <v>6.421102405510919</v>
      </c>
      <c r="H4" s="4" t="n">
        <v>6.418661619989711</v>
      </c>
      <c r="I4" s="4" t="n">
        <v>0.004585240682787095</v>
      </c>
      <c r="J4" s="4" t="n">
        <v>0.003590724269732292</v>
      </c>
      <c r="K4" s="4" t="n">
        <v>9.44346190303728</v>
      </c>
      <c r="L4" s="4" t="n">
        <v>0.05294949931762433</v>
      </c>
      <c r="M4" s="4" t="n">
        <v>7.579429883604049e-05</v>
      </c>
      <c r="N4" s="4" t="n">
        <v>0.05294949931762433</v>
      </c>
    </row>
    <row r="5">
      <c r="A5" t="n">
        <v>31</v>
      </c>
      <c r="B5" t="n">
        <v>0.5</v>
      </c>
      <c r="C5" s="4" t="n">
        <v>6.416021485155336</v>
      </c>
      <c r="D5" s="4" t="n">
        <v>6.420163033663504</v>
      </c>
      <c r="E5" s="4" t="n">
        <v>6.416520971203605</v>
      </c>
      <c r="F5" s="4" t="n">
        <v>6.416838539061854</v>
      </c>
      <c r="G5" s="4" t="n">
        <v>6.423031687879468</v>
      </c>
      <c r="H5" s="4" t="n">
        <v>6.418515143392753</v>
      </c>
      <c r="I5" s="4" t="n">
        <v>0.003505101362065943</v>
      </c>
      <c r="J5" s="4" t="n">
        <v>0.003005027980415114</v>
      </c>
      <c r="K5" s="4" t="n">
        <v>11.47499987944841</v>
      </c>
      <c r="L5" s="4" t="n">
        <v>0.04357558313137169</v>
      </c>
      <c r="M5" s="4" t="n">
        <v>7.829552995382016e-05</v>
      </c>
      <c r="N5" s="4" t="n">
        <v>0.04357558313137169</v>
      </c>
    </row>
    <row r="6">
      <c r="A6" t="n">
        <v>33.5</v>
      </c>
      <c r="B6" t="n">
        <v>0.5</v>
      </c>
      <c r="C6" s="4" t="n">
        <v>6.421743849621168</v>
      </c>
      <c r="D6" s="4" t="n">
        <v>6.41925951964308</v>
      </c>
      <c r="E6" s="4" t="n">
        <v>6.417782615925995</v>
      </c>
      <c r="F6" s="4" t="n">
        <v>6.420764610378964</v>
      </c>
      <c r="G6" s="4" t="n">
        <v>6.42261515264997</v>
      </c>
      <c r="H6" s="4" t="n">
        <v>6.420433149643836</v>
      </c>
      <c r="I6" s="4" t="n">
        <v>0.002416268361987495</v>
      </c>
      <c r="J6" s="4" t="n">
        <v>0.001935954166320498</v>
      </c>
      <c r="K6" s="4" t="n">
        <v>14.47000029223561</v>
      </c>
      <c r="L6" s="4" t="n">
        <v>0.03455512369645693</v>
      </c>
      <c r="M6" s="4" t="n">
        <v>5.023773627055306e-05</v>
      </c>
      <c r="N6" s="4" t="n">
        <v>0.03455512369645693</v>
      </c>
    </row>
    <row r="7">
      <c r="A7" t="n">
        <v>36</v>
      </c>
      <c r="B7" t="n">
        <v>0.5</v>
      </c>
      <c r="C7" s="4" t="n">
        <v>6.417541656344358</v>
      </c>
      <c r="D7" s="4" t="n">
        <v>6.424263794541415</v>
      </c>
      <c r="E7" s="4" t="n">
        <v>6.422492751770414</v>
      </c>
      <c r="F7" s="4" t="n">
        <v>6.413590492606336</v>
      </c>
      <c r="G7" s="4" t="n">
        <v>6.422038427834031</v>
      </c>
      <c r="H7" s="4" t="n">
        <v>6.41998542461931</v>
      </c>
      <c r="I7" s="4" t="n">
        <v>0.005336650967539214</v>
      </c>
      <c r="J7" s="4" t="n">
        <v>0.004349514905851702</v>
      </c>
      <c r="K7" s="4" t="n">
        <v>19.42993448032662</v>
      </c>
      <c r="L7" s="4" t="n">
        <v>0.02573525428679315</v>
      </c>
      <c r="M7" s="4" t="n">
        <v>1.331515705675912e-05</v>
      </c>
      <c r="N7" s="4" t="n">
        <v>0.02573525428679315</v>
      </c>
    </row>
    <row r="8">
      <c r="A8" t="n">
        <v>39</v>
      </c>
      <c r="B8" t="n">
        <v>0.5</v>
      </c>
      <c r="C8" s="4" t="n">
        <v>6.415120334815577</v>
      </c>
      <c r="D8" s="4" t="n">
        <v>6.426041554254645</v>
      </c>
      <c r="E8" s="4" t="n">
        <v>6.421578418596004</v>
      </c>
      <c r="F8" s="4" t="n">
        <v>6.422410153454862</v>
      </c>
      <c r="G8" s="4" t="n">
        <v>6.423075321674039</v>
      </c>
      <c r="H8" s="4" t="n">
        <v>6.421645156559026</v>
      </c>
      <c r="I8" s="4" t="n">
        <v>0.005460609719533771</v>
      </c>
      <c r="J8" s="4" t="n">
        <v>0.004016735550928559</v>
      </c>
      <c r="K8" s="4" t="n">
        <v>29.26333325322028</v>
      </c>
      <c r="L8" s="4" t="n">
        <v>0.01708649600653851</v>
      </c>
      <c r="M8" s="4" t="n">
        <v>7.22410371922777e-06</v>
      </c>
      <c r="N8" s="4" t="n">
        <v>0.01708649600653851</v>
      </c>
    </row>
    <row r="9">
      <c r="A9" t="n">
        <v>42</v>
      </c>
      <c r="B9" t="n">
        <v>0.5</v>
      </c>
      <c r="C9" s="4" t="n">
        <v>6.413276571343618</v>
      </c>
      <c r="D9" s="4" t="n">
        <v>6.420799403571884</v>
      </c>
      <c r="E9" s="4" t="n">
        <v>6.421350394462943</v>
      </c>
      <c r="F9" s="4" t="n">
        <v>6.420484457578584</v>
      </c>
      <c r="G9" s="4" t="n">
        <v>6.42046442188578</v>
      </c>
      <c r="H9" s="4" t="n">
        <v>6.419275049768562</v>
      </c>
      <c r="I9" s="4" t="n">
        <v>0.00403691155966257</v>
      </c>
      <c r="J9" s="4" t="n">
        <v>0.003372303619815388</v>
      </c>
      <c r="K9" s="4" t="n">
        <v>44.13313612314091</v>
      </c>
      <c r="L9" s="4" t="n">
        <v>0.01132945553147083</v>
      </c>
      <c r="M9" s="4" t="n">
        <v>6.895399451511964e-06</v>
      </c>
      <c r="N9" s="4" t="n">
        <v>0.01132945553147083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3" customWidth="1" min="9" max="9"/>
    <col width="10" customWidth="1" min="10" max="10"/>
    <col width="10" customWidth="1" min="11" max="11"/>
    <col width="16" customWidth="1" min="12" max="12"/>
    <col width="15" customWidth="1" min="13" max="13"/>
    <col width="14" customWidth="1" min="14" max="14"/>
  </cols>
  <sheetData>
    <row r="1">
      <c r="A1" s="3" t="inlineStr">
        <is>
          <t>d / mm</t>
        </is>
      </c>
      <c r="B1" s="3" t="inlineStr">
        <is>
          <t>dd / mm</t>
        </is>
      </c>
      <c r="C1" s="3" t="inlineStr">
        <is>
          <t>f2 trial 1 / Hz</t>
        </is>
      </c>
      <c r="D1" s="3" t="inlineStr">
        <is>
          <t>f2 trial 2 / Hz</t>
        </is>
      </c>
      <c r="E1" s="3" t="inlineStr">
        <is>
          <t>f2 trial 3 / Hz</t>
        </is>
      </c>
      <c r="F1" s="3" t="inlineStr">
        <is>
          <t>f2 trial 4 / Hz</t>
        </is>
      </c>
      <c r="G1" s="3" t="inlineStr">
        <is>
          <t>f2 trial 5 / Hz</t>
        </is>
      </c>
      <c r="H1" s="3" t="inlineStr">
        <is>
          <t>mean / Hz</t>
        </is>
      </c>
      <c r="I1" s="3" t="inlineStr">
        <is>
          <t>half-range / Hz</t>
        </is>
      </c>
      <c r="J1" s="3" t="inlineStr">
        <is>
          <t>SD / Hz</t>
        </is>
      </c>
      <c r="K1" s="3" t="inlineStr">
        <is>
          <t>T mean / s</t>
        </is>
      </c>
      <c r="L1" s="3" t="inlineStr">
        <is>
          <t>half-bin 1/(2T) / Hz</t>
        </is>
      </c>
      <c r="M1" s="3" t="inlineStr">
        <is>
          <t>window spread / Hz</t>
        </is>
      </c>
      <c r="N1" s="3" t="inlineStr">
        <is>
          <t>adopted df2 / Hz</t>
        </is>
      </c>
    </row>
    <row r="2">
      <c r="A2" t="n">
        <v>24.5</v>
      </c>
      <c r="B2" t="n">
        <v>0.5</v>
      </c>
      <c r="C2" s="4" t="n">
        <v>8.540313099876714</v>
      </c>
      <c r="D2" s="4" t="n">
        <v>7.839840269879861</v>
      </c>
      <c r="E2" s="4" t="n">
        <v>7.942010611956036</v>
      </c>
      <c r="F2" s="4" t="n">
        <v>7.987987803403493</v>
      </c>
      <c r="G2" s="4" t="n">
        <v>7.890372030245143</v>
      </c>
      <c r="H2" s="4" t="n">
        <v>8.04010476307225</v>
      </c>
      <c r="I2" s="4" t="n">
        <v>0.3502364149984265</v>
      </c>
      <c r="J2" s="4" t="n">
        <v>0.2850757700553012</v>
      </c>
      <c r="K2" s="4" t="n">
        <v>9.740947559842219</v>
      </c>
      <c r="L2" s="4" t="n">
        <v>0.0514319447963549</v>
      </c>
      <c r="M2" s="4" t="n">
        <v>4.306030997769383e-05</v>
      </c>
      <c r="N2" s="4" t="n">
        <v>0.3502364149984265</v>
      </c>
    </row>
    <row r="3">
      <c r="A3" t="n">
        <v>26.5</v>
      </c>
      <c r="B3" t="n">
        <v>0.5</v>
      </c>
      <c r="C3" s="4" t="n">
        <v>7.460476292880371</v>
      </c>
      <c r="D3" s="4" t="n">
        <v>7.475415489615783</v>
      </c>
      <c r="E3" s="4" t="n">
        <v>7.500830218891052</v>
      </c>
      <c r="F3" s="4" t="n">
        <v>7.463594202344465</v>
      </c>
      <c r="G3" s="4" t="n">
        <v>7.448196032081952</v>
      </c>
      <c r="H3" s="4" t="n">
        <v>7.469702447162724</v>
      </c>
      <c r="I3" s="4" t="n">
        <v>0.02631709340454957</v>
      </c>
      <c r="J3" s="4" t="n">
        <v>0.01991566904518479</v>
      </c>
      <c r="K3" s="4" t="n">
        <v>9.448269174195707</v>
      </c>
      <c r="L3" s="4" t="n">
        <v>0.05292570486896046</v>
      </c>
      <c r="M3" s="4" t="n">
        <v>8.534763532273005e-05</v>
      </c>
      <c r="N3" s="4" t="n">
        <v>0.05292570486896046</v>
      </c>
    </row>
    <row r="4">
      <c r="A4" t="n">
        <v>28.5</v>
      </c>
      <c r="B4" t="n">
        <v>0.5</v>
      </c>
      <c r="C4" s="4" t="n">
        <v>7.145791710634956</v>
      </c>
      <c r="D4" s="4" t="n">
        <v>7.145643038717016</v>
      </c>
      <c r="E4" s="4" t="n">
        <v>7.171113682256173</v>
      </c>
      <c r="F4" s="4" t="n">
        <v>7.165651909595627</v>
      </c>
      <c r="G4" s="4" t="n">
        <v>7.125592217972428</v>
      </c>
      <c r="H4" s="4" t="n">
        <v>7.15075851183524</v>
      </c>
      <c r="I4" s="4" t="n">
        <v>0.0227607321418728</v>
      </c>
      <c r="J4" s="4" t="n">
        <v>0.01816814372665909</v>
      </c>
      <c r="K4" s="4" t="n">
        <v>9.44346190303728</v>
      </c>
      <c r="L4" s="4" t="n">
        <v>0.05294949931762433</v>
      </c>
      <c r="M4" s="4" t="n">
        <v>4.77941273961946e-05</v>
      </c>
      <c r="N4" s="4" t="n">
        <v>0.05294949931762433</v>
      </c>
    </row>
    <row r="5">
      <c r="A5" t="n">
        <v>31</v>
      </c>
      <c r="B5" t="n">
        <v>0.5</v>
      </c>
      <c r="C5" s="4" t="n">
        <v>6.940401617662846</v>
      </c>
      <c r="D5" s="4" t="n">
        <v>6.864908186667023</v>
      </c>
      <c r="E5" s="4" t="n">
        <v>6.939540288135056</v>
      </c>
      <c r="F5" s="4" t="n">
        <v>6.931491266690825</v>
      </c>
      <c r="G5" s="4" t="n">
        <v>6.919824957304362</v>
      </c>
      <c r="H5" s="4" t="n">
        <v>6.919233263292023</v>
      </c>
      <c r="I5" s="4" t="n">
        <v>0.03774671549791142</v>
      </c>
      <c r="J5" s="4" t="n">
        <v>0.0314733902852303</v>
      </c>
      <c r="K5" s="4" t="n">
        <v>11.47499987944841</v>
      </c>
      <c r="L5" s="4" t="n">
        <v>0.04357558313137169</v>
      </c>
      <c r="M5" s="4" t="n">
        <v>5.270497356377746e-05</v>
      </c>
      <c r="N5" s="4" t="n">
        <v>0.04357558313137169</v>
      </c>
    </row>
    <row r="6">
      <c r="A6" t="n">
        <v>33.5</v>
      </c>
      <c r="B6" t="n">
        <v>0.5</v>
      </c>
      <c r="C6" s="4" t="n">
        <v>6.769363795052784</v>
      </c>
      <c r="D6" s="4" t="n">
        <v>6.787317921324783</v>
      </c>
      <c r="E6" s="4" t="n">
        <v>6.780731021802973</v>
      </c>
      <c r="F6" s="4" t="n">
        <v>6.767427938047227</v>
      </c>
      <c r="G6" s="4" t="n">
        <v>6.711443944513029</v>
      </c>
      <c r="H6" s="4" t="n">
        <v>6.763256924148159</v>
      </c>
      <c r="I6" s="4" t="n">
        <v>0.03793698840587734</v>
      </c>
      <c r="J6" s="4" t="n">
        <v>0.03009797236462077</v>
      </c>
      <c r="K6" s="4" t="n">
        <v>14.47000029223561</v>
      </c>
      <c r="L6" s="4" t="n">
        <v>0.03455512369645693</v>
      </c>
      <c r="M6" s="4" t="n">
        <v>1.140871198774818e-05</v>
      </c>
      <c r="N6" s="4" t="n">
        <v>0.03793698840587734</v>
      </c>
    </row>
    <row r="7">
      <c r="A7" t="n">
        <v>36</v>
      </c>
      <c r="B7" t="n">
        <v>0.5</v>
      </c>
      <c r="C7" s="4" t="n">
        <v>6.614649206854763</v>
      </c>
      <c r="D7" s="4" t="n">
        <v>6.642209746120497</v>
      </c>
      <c r="E7" s="4" t="n">
        <v>6.697406306635964</v>
      </c>
      <c r="F7" s="4" t="n">
        <v>6.680793718601644</v>
      </c>
      <c r="G7" s="4" t="n">
        <v>6.670551786057127</v>
      </c>
      <c r="H7" s="4" t="n">
        <v>6.661122152854</v>
      </c>
      <c r="I7" s="4" t="n">
        <v>0.04137854989060052</v>
      </c>
      <c r="J7" s="4" t="n">
        <v>0.03282469396385923</v>
      </c>
      <c r="K7" s="4" t="n">
        <v>19.42993448032662</v>
      </c>
      <c r="L7" s="4" t="n">
        <v>0.02573525428679315</v>
      </c>
      <c r="M7" s="4" t="n">
        <v>1.579399288766936e-05</v>
      </c>
      <c r="N7" s="4" t="n">
        <v>0.04137854989060052</v>
      </c>
    </row>
    <row r="8">
      <c r="A8" t="n">
        <v>39</v>
      </c>
      <c r="B8" t="n">
        <v>0.5</v>
      </c>
      <c r="C8" s="4" t="n">
        <v>6.597573572297817</v>
      </c>
      <c r="D8" s="4" t="n">
        <v>6.648667395155068</v>
      </c>
      <c r="E8" s="4" t="n">
        <v>6.562351714992196</v>
      </c>
      <c r="F8" s="4" t="n">
        <v>6.634001403148405</v>
      </c>
      <c r="G8" s="4" t="n">
        <v>6.594862040530971</v>
      </c>
      <c r="H8" s="4" t="n">
        <v>6.607491225224891</v>
      </c>
      <c r="I8" s="4" t="n">
        <v>0.04315784008143631</v>
      </c>
      <c r="J8" s="4" t="n">
        <v>0.0342552843854706</v>
      </c>
      <c r="K8" s="4" t="n">
        <v>29.26333325322028</v>
      </c>
      <c r="L8" s="4" t="n">
        <v>0.01708649600653851</v>
      </c>
      <c r="M8" s="4" t="n">
        <v>7.928377829813371e-06</v>
      </c>
      <c r="N8" s="4" t="n">
        <v>0.04315784008143631</v>
      </c>
    </row>
    <row r="9">
      <c r="A9" t="n">
        <v>42</v>
      </c>
      <c r="B9" t="n">
        <v>0.5</v>
      </c>
      <c r="C9" s="4" t="n">
        <v>6.497925618080212</v>
      </c>
      <c r="D9" s="4" t="n">
        <v>6.544851985735659</v>
      </c>
      <c r="E9" s="4" t="n">
        <v>6.522598430860087</v>
      </c>
      <c r="F9" s="4" t="n">
        <v>6.516431027036958</v>
      </c>
      <c r="G9" s="4" t="n">
        <v>6.556904187619779</v>
      </c>
      <c r="H9" s="4" t="n">
        <v>6.527742249866539</v>
      </c>
      <c r="I9" s="4" t="n">
        <v>0.02948928476978319</v>
      </c>
      <c r="J9" s="4" t="n">
        <v>0.02338052523997177</v>
      </c>
      <c r="K9" s="4" t="n">
        <v>44.13313612314091</v>
      </c>
      <c r="L9" s="4" t="n">
        <v>0.01132945553147083</v>
      </c>
      <c r="M9" s="4" t="n">
        <v>3.6051772555723e-06</v>
      </c>
      <c r="N9" s="4" t="n">
        <v>0.02948928476978319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3" t="inlineStr">
        <is>
          <t>d / mm</t>
        </is>
      </c>
      <c r="B1" s="3" t="inlineStr">
        <is>
          <t>dd / mm</t>
        </is>
      </c>
      <c r="C1" s="3" t="inlineStr">
        <is>
          <t>f1 / Hz</t>
        </is>
      </c>
      <c r="D1" s="3" t="inlineStr">
        <is>
          <t>df1 / Hz</t>
        </is>
      </c>
      <c r="E1" s="3" t="inlineStr">
        <is>
          <t>f2 / Hz</t>
        </is>
      </c>
      <c r="F1" s="3" t="inlineStr">
        <is>
          <t>df2 / Hz</t>
        </is>
      </c>
      <c r="G1" s="3" t="inlineStr">
        <is>
          <t>f_avg / Hz</t>
        </is>
      </c>
      <c r="H1" s="3" t="inlineStr">
        <is>
          <t>df_avg / Hz</t>
        </is>
      </c>
      <c r="I1" s="3" t="inlineStr">
        <is>
          <t>f_beat / Hz</t>
        </is>
      </c>
      <c r="J1" s="3" t="inlineStr">
        <is>
          <t>df_beat / Hz</t>
        </is>
      </c>
      <c r="K1" s="3" t="inlineStr">
        <is>
          <t>f2^2-f1^2 / Hz^2</t>
        </is>
      </c>
      <c r="L1" s="3" t="inlineStr">
        <is>
          <t>d(f2^2-f1^2) / Hz^2</t>
        </is>
      </c>
      <c r="M1" s="3" t="inlineStr">
        <is>
          <t>ln(d/m)</t>
        </is>
      </c>
      <c r="N1" s="3" t="inlineStr">
        <is>
          <t>d ln d</t>
        </is>
      </c>
      <c r="O1" s="3" t="inlineStr">
        <is>
          <t>ln(f2^2-f1^2)</t>
        </is>
      </c>
      <c r="P1" s="3" t="inlineStr">
        <is>
          <t>d ln(...)</t>
        </is>
      </c>
      <c r="Q1" s="3" t="inlineStr">
        <is>
          <t>C_i=(f2^2-f1^2)d^5 / m^5 s^-2</t>
        </is>
      </c>
      <c r="R1" s="3" t="inlineStr">
        <is>
          <t>dC_i</t>
        </is>
      </c>
      <c r="S1" s="3" t="inlineStr">
        <is>
          <t>2gamma/k=(f2/f1)^2-1</t>
        </is>
      </c>
      <c r="T1" s="3" t="inlineStr">
        <is>
          <t>(f1/f2)^2</t>
        </is>
      </c>
      <c r="U1" s="3" t="inlineStr">
        <is>
          <t>rA</t>
        </is>
      </c>
      <c r="V1" s="3" t="inlineStr">
        <is>
          <t>rB</t>
        </is>
      </c>
      <c r="W1" s="3" t="inlineStr">
        <is>
          <t>tau / s</t>
        </is>
      </c>
      <c r="X1" s="3" t="inlineStr">
        <is>
          <t>d_track / mm</t>
        </is>
      </c>
    </row>
    <row r="2">
      <c r="A2" t="n">
        <v>24.5</v>
      </c>
      <c r="B2" t="n">
        <v>0.5</v>
      </c>
      <c r="C2" s="4" t="n">
        <v>6.419329421557793</v>
      </c>
      <c r="D2" s="4" t="n">
        <v>0.0514319447963549</v>
      </c>
      <c r="E2" s="4" t="n">
        <v>8.04010476307225</v>
      </c>
      <c r="F2" s="4" t="n">
        <v>0.3502364149984265</v>
      </c>
      <c r="G2" s="4" t="n">
        <v>7.229717092315021</v>
      </c>
      <c r="H2" s="4" t="n">
        <v>0.2008341798973907</v>
      </c>
      <c r="I2" s="4" t="n">
        <v>1.620775341514458</v>
      </c>
      <c r="J2" s="4" t="n">
        <v>0.4016683597947814</v>
      </c>
      <c r="K2" s="4" t="n">
        <v>23.43549437869958</v>
      </c>
      <c r="L2" s="4" t="n">
        <v>6.29219212973875</v>
      </c>
      <c r="M2" s="4" t="n">
        <v>-3.709082161431456</v>
      </c>
      <c r="N2" s="4" t="n">
        <v>0.02040816326530612</v>
      </c>
      <c r="O2" s="4" t="n">
        <v>3.154251726893552</v>
      </c>
      <c r="P2" s="4" t="n">
        <v>0.2684898397303577</v>
      </c>
      <c r="Q2" s="5" t="n">
        <v>2.068733471894146e-07</v>
      </c>
      <c r="R2" s="5" t="n">
        <v>7.665291705477821e-08</v>
      </c>
      <c r="S2" s="6" t="n">
        <v>0.5687151446892265</v>
      </c>
      <c r="T2" s="6" t="n">
        <v>0.6374643627209369</v>
      </c>
      <c r="U2" s="6" t="n">
        <v>0.6217847404227748</v>
      </c>
      <c r="V2" s="6" t="n">
        <v>0.6311609127347688</v>
      </c>
      <c r="W2" s="6" t="n">
        <v>34.67347659682527</v>
      </c>
      <c r="X2" s="6" t="n">
        <v>27.42016660981829</v>
      </c>
    </row>
    <row r="3">
      <c r="A3" t="n">
        <v>26.5</v>
      </c>
      <c r="B3" t="n">
        <v>0.5</v>
      </c>
      <c r="C3" s="4" t="n">
        <v>6.420582225963837</v>
      </c>
      <c r="D3" s="4" t="n">
        <v>0.05292570486896046</v>
      </c>
      <c r="E3" s="4" t="n">
        <v>7.469702447162724</v>
      </c>
      <c r="F3" s="4" t="n">
        <v>0.05292570486896046</v>
      </c>
      <c r="G3" s="4" t="n">
        <v>6.945142336563281</v>
      </c>
      <c r="H3" s="4" t="n">
        <v>0.05292570486896046</v>
      </c>
      <c r="I3" s="4" t="n">
        <v>1.049120221198888</v>
      </c>
      <c r="J3" s="4" t="n">
        <v>0.1058514097379209</v>
      </c>
      <c r="K3" s="4" t="n">
        <v>14.57257852878606</v>
      </c>
      <c r="L3" s="4" t="n">
        <v>1.470306214311483</v>
      </c>
      <c r="M3" s="4" t="n">
        <v>-3.630610545989961</v>
      </c>
      <c r="N3" s="4" t="n">
        <v>0.01886792452830189</v>
      </c>
      <c r="O3" s="4" t="n">
        <v>2.679141579757226</v>
      </c>
      <c r="P3" s="4" t="n">
        <v>0.1008954051204529</v>
      </c>
      <c r="Q3" s="5" t="n">
        <v>1.904433331914656e-07</v>
      </c>
      <c r="R3" s="5" t="n">
        <v>3.718120944271643e-08</v>
      </c>
      <c r="S3" s="6" t="n">
        <v>0.3534985037854765</v>
      </c>
      <c r="T3" s="6" t="n">
        <v>0.7388260845528763</v>
      </c>
      <c r="U3" s="6" t="n">
        <v>0.7382694480699551</v>
      </c>
      <c r="V3" s="6" t="n">
        <v>0.7393205363278086</v>
      </c>
      <c r="W3" s="6" t="n">
        <v>33.87689750505377</v>
      </c>
      <c r="X3" s="6" t="n">
        <v>29.49555595406794</v>
      </c>
    </row>
    <row r="4">
      <c r="A4" t="n">
        <v>28.5</v>
      </c>
      <c r="B4" t="n">
        <v>0.5</v>
      </c>
      <c r="C4" s="4" t="n">
        <v>6.418661619989711</v>
      </c>
      <c r="D4" s="4" t="n">
        <v>0.05294949931762433</v>
      </c>
      <c r="E4" s="4" t="n">
        <v>7.15075851183524</v>
      </c>
      <c r="F4" s="4" t="n">
        <v>0.05294949931762433</v>
      </c>
      <c r="G4" s="4" t="n">
        <v>6.784710065912476</v>
      </c>
      <c r="H4" s="4" t="n">
        <v>0.05294949931762433</v>
      </c>
      <c r="I4" s="4" t="n">
        <v>0.7320968918455284</v>
      </c>
      <c r="J4" s="4" t="n">
        <v>0.1058989986352487</v>
      </c>
      <c r="K4" s="4" t="n">
        <v>9.934130302655191</v>
      </c>
      <c r="L4" s="4" t="n">
        <v>1.436988004021246</v>
      </c>
      <c r="M4" s="4" t="n">
        <v>-3.557851191707532</v>
      </c>
      <c r="N4" s="4" t="n">
        <v>0.01754385964912281</v>
      </c>
      <c r="O4" s="4" t="n">
        <v>2.295976333435775</v>
      </c>
      <c r="P4" s="4" t="n">
        <v>0.1446516162202109</v>
      </c>
      <c r="Q4" s="5" t="n">
        <v>1.867902280097074e-07</v>
      </c>
      <c r="R4" s="5" t="n">
        <v>4.340461609589564e-08</v>
      </c>
      <c r="S4" s="6" t="n">
        <v>0.2411242501186686</v>
      </c>
      <c r="T4" s="6" t="n">
        <v>0.8057211031888112</v>
      </c>
      <c r="U4" s="6" t="n">
        <v>0.8033062493466613</v>
      </c>
      <c r="V4" s="6" t="n">
        <v>0.8023362339419314</v>
      </c>
      <c r="W4" s="6" t="n">
        <v>29.99229884114435</v>
      </c>
      <c r="X4" s="6" t="n">
        <v>31.49499067455427</v>
      </c>
    </row>
    <row r="5">
      <c r="A5" t="n">
        <v>31</v>
      </c>
      <c r="B5" t="n">
        <v>0.5</v>
      </c>
      <c r="C5" s="4" t="n">
        <v>6.418515143392753</v>
      </c>
      <c r="D5" s="4" t="n">
        <v>0.04357558313137169</v>
      </c>
      <c r="E5" s="4" t="n">
        <v>6.919233263292023</v>
      </c>
      <c r="F5" s="4" t="n">
        <v>0.04357558313137169</v>
      </c>
      <c r="G5" s="4" t="n">
        <v>6.668874203342388</v>
      </c>
      <c r="H5" s="4" t="n">
        <v>0.04357558313137169</v>
      </c>
      <c r="I5" s="4" t="n">
        <v>0.5007181198992701</v>
      </c>
      <c r="J5" s="4" t="n">
        <v>0.08715116626274338</v>
      </c>
      <c r="K5" s="4" t="n">
        <v>6.67845230588469</v>
      </c>
      <c r="L5" s="4" t="n">
        <v>1.162400328961626</v>
      </c>
      <c r="M5" s="4" t="n">
        <v>-3.473768074496991</v>
      </c>
      <c r="N5" s="4" t="n">
        <v>0.01612903225806452</v>
      </c>
      <c r="O5" s="4" t="n">
        <v>1.898886269968284</v>
      </c>
      <c r="P5" s="4" t="n">
        <v>0.1740523516110734</v>
      </c>
      <c r="Q5" s="5" t="n">
        <v>1.91198419511471e-07</v>
      </c>
      <c r="R5" s="5" t="n">
        <v>4.869776192024939e-08</v>
      </c>
      <c r="S5" s="6" t="n">
        <v>0.1621088363861323</v>
      </c>
      <c r="T5" s="6" t="n">
        <v>0.8605046005069109</v>
      </c>
      <c r="U5" s="6" t="n">
        <v>0.8605877369210955</v>
      </c>
      <c r="V5" s="6" t="n">
        <v>0.8612134250391492</v>
      </c>
      <c r="W5" s="6" t="n">
        <v>27.46195886348009</v>
      </c>
      <c r="X5" s="6" t="n">
        <v>33.99152643387276</v>
      </c>
    </row>
    <row r="6">
      <c r="A6" t="n">
        <v>33.5</v>
      </c>
      <c r="B6" t="n">
        <v>0.5</v>
      </c>
      <c r="C6" s="4" t="n">
        <v>6.420433149643836</v>
      </c>
      <c r="D6" s="4" t="n">
        <v>0.03455512369645693</v>
      </c>
      <c r="E6" s="4" t="n">
        <v>6.763256924148159</v>
      </c>
      <c r="F6" s="4" t="n">
        <v>0.03793698840587734</v>
      </c>
      <c r="G6" s="4" t="n">
        <v>6.591845036895998</v>
      </c>
      <c r="H6" s="4" t="n">
        <v>0.03624605605116713</v>
      </c>
      <c r="I6" s="4" t="n">
        <v>0.342823774504323</v>
      </c>
      <c r="J6" s="4" t="n">
        <v>0.07249211210233426</v>
      </c>
      <c r="K6" s="4" t="n">
        <v>4.51968239299255</v>
      </c>
      <c r="L6" s="4" t="n">
        <v>0.9568729223763073</v>
      </c>
      <c r="M6" s="4" t="n">
        <v>-3.396209840151116</v>
      </c>
      <c r="N6" s="4" t="n">
        <v>0.01492537313432836</v>
      </c>
      <c r="O6" s="4" t="n">
        <v>1.50844172433825</v>
      </c>
      <c r="P6" s="4" t="n">
        <v>0.2117124256031511</v>
      </c>
      <c r="Q6" s="5" t="n">
        <v>1.906917710764089e-07</v>
      </c>
      <c r="R6" s="5" t="n">
        <v>5.460254658195397e-08</v>
      </c>
      <c r="S6" s="6" t="n">
        <v>0.1096425835271122</v>
      </c>
      <c r="T6" s="6" t="n">
        <v>0.9011910815655595</v>
      </c>
      <c r="U6" s="6" t="n">
        <v>0.9013632912907731</v>
      </c>
      <c r="V6" s="6" t="n">
        <v>0.9015310499743802</v>
      </c>
      <c r="W6" s="6" t="n">
        <v>26.23237422188068</v>
      </c>
      <c r="X6" s="6" t="n">
        <v>36.49618651094578</v>
      </c>
    </row>
    <row r="7">
      <c r="A7" t="n">
        <v>36</v>
      </c>
      <c r="B7" t="n">
        <v>0.5</v>
      </c>
      <c r="C7" s="4" t="n">
        <v>6.41998542461931</v>
      </c>
      <c r="D7" s="4" t="n">
        <v>0.02573525428679315</v>
      </c>
      <c r="E7" s="4" t="n">
        <v>6.661122152854</v>
      </c>
      <c r="F7" s="4" t="n">
        <v>0.04137854989060052</v>
      </c>
      <c r="G7" s="4" t="n">
        <v>6.540553788736656</v>
      </c>
      <c r="H7" s="4" t="n">
        <v>0.03355690208869683</v>
      </c>
      <c r="I7" s="4" t="n">
        <v>0.2411367282346903</v>
      </c>
      <c r="J7" s="4" t="n">
        <v>0.06711380417739367</v>
      </c>
      <c r="K7" s="4" t="n">
        <v>3.154335482917929</v>
      </c>
      <c r="L7" s="4" t="n">
        <v>0.8816950654986746</v>
      </c>
      <c r="M7" s="4" t="n">
        <v>-3.324236340526027</v>
      </c>
      <c r="N7" s="4" t="n">
        <v>0.01388888888888889</v>
      </c>
      <c r="O7" s="4" t="n">
        <v>1.14877785032809</v>
      </c>
      <c r="P7" s="4" t="n">
        <v>0.2795184818715159</v>
      </c>
      <c r="Q7" s="5" t="n">
        <v>1.907306044731604e-07</v>
      </c>
      <c r="R7" s="5" t="n">
        <v>6.655790987496608e-08</v>
      </c>
      <c r="S7" s="6" t="n">
        <v>0.07653142452024286</v>
      </c>
      <c r="T7" s="6" t="n">
        <v>0.9289092517161316</v>
      </c>
      <c r="U7" s="6" t="n">
        <v>0.9295450701443289</v>
      </c>
      <c r="V7" s="6" t="n">
        <v>0.9294365890545017</v>
      </c>
      <c r="W7" s="6" t="n">
        <v>25.13635345839693</v>
      </c>
      <c r="X7" s="6" t="n">
        <v>38.99761841187696</v>
      </c>
    </row>
    <row r="8">
      <c r="A8" t="n">
        <v>39</v>
      </c>
      <c r="B8" t="n">
        <v>0.5</v>
      </c>
      <c r="C8" s="4" t="n">
        <v>6.421645156559026</v>
      </c>
      <c r="D8" s="4" t="n">
        <v>0.01708649600653851</v>
      </c>
      <c r="E8" s="4" t="n">
        <v>6.607491225224891</v>
      </c>
      <c r="F8" s="4" t="n">
        <v>0.04315784008143631</v>
      </c>
      <c r="G8" s="4" t="n">
        <v>6.514568190891959</v>
      </c>
      <c r="H8" s="4" t="n">
        <v>0.03012216804398741</v>
      </c>
      <c r="I8" s="4" t="n">
        <v>0.1858460686658647</v>
      </c>
      <c r="J8" s="4" t="n">
        <v>0.06024433608797482</v>
      </c>
      <c r="K8" s="4" t="n">
        <v>2.421413774665929</v>
      </c>
      <c r="L8" s="4" t="n">
        <v>0.7897769279214053</v>
      </c>
      <c r="M8" s="4" t="n">
        <v>-3.244193632852491</v>
      </c>
      <c r="N8" s="4" t="n">
        <v>0.01282051282051282</v>
      </c>
      <c r="O8" s="4" t="n">
        <v>0.8843515739950417</v>
      </c>
      <c r="P8" s="4" t="n">
        <v>0.3261635562597587</v>
      </c>
      <c r="Q8" s="5" t="n">
        <v>2.184701182667999e-07</v>
      </c>
      <c r="R8" s="5" t="n">
        <v>8.526148547108183e-08</v>
      </c>
      <c r="S8" s="6" t="n">
        <v>0.05871869578991151</v>
      </c>
      <c r="T8" s="6" t="n">
        <v>0.944537962705852</v>
      </c>
      <c r="U8" s="6" t="n">
        <v>0.9509571999685427</v>
      </c>
      <c r="V8" s="6" t="n">
        <v>0.9512137568474396</v>
      </c>
      <c r="W8" s="6" t="n">
        <v>25.84369934420308</v>
      </c>
      <c r="X8" s="6" t="n">
        <v>41.998573263257</v>
      </c>
    </row>
    <row r="9">
      <c r="A9" t="n">
        <v>42</v>
      </c>
      <c r="B9" t="n">
        <v>0.5</v>
      </c>
      <c r="C9" s="4" t="n">
        <v>6.419275049768562</v>
      </c>
      <c r="D9" s="4" t="n">
        <v>0.01132945553147083</v>
      </c>
      <c r="E9" s="4" t="n">
        <v>6.527742249866539</v>
      </c>
      <c r="F9" s="4" t="n">
        <v>0.02948928476978319</v>
      </c>
      <c r="G9" s="4" t="n">
        <v>6.473508649817551</v>
      </c>
      <c r="H9" s="4" t="n">
        <v>0.02040937015062701</v>
      </c>
      <c r="I9" s="4" t="n">
        <v>0.1084672000979765</v>
      </c>
      <c r="J9" s="4" t="n">
        <v>0.04081874030125401</v>
      </c>
      <c r="K9" s="4" t="n">
        <v>1.404326716111484</v>
      </c>
      <c r="L9" s="4" t="n">
        <v>0.5304506826613853</v>
      </c>
      <c r="M9" s="4" t="n">
        <v>-3.170085660698769</v>
      </c>
      <c r="N9" s="4" t="n">
        <v>0.0119047619047619</v>
      </c>
      <c r="O9" s="4" t="n">
        <v>0.339557982315402</v>
      </c>
      <c r="P9" s="4" t="n">
        <v>0.3777259782753252</v>
      </c>
      <c r="Q9" s="5" t="n">
        <v>1.835331886591242e-07</v>
      </c>
      <c r="R9" s="5" t="n">
        <v>8.02498477953006e-08</v>
      </c>
      <c r="S9" s="6" t="n">
        <v>0.03407973342313508</v>
      </c>
      <c r="T9" s="6" t="n">
        <v>0.9670434181024705</v>
      </c>
      <c r="U9" s="6" t="n">
        <v>0.965805972370922</v>
      </c>
      <c r="V9" s="6" t="n">
        <v>0.9657614859583568</v>
      </c>
      <c r="W9" s="6" t="n">
        <v>25.71603615473413</v>
      </c>
      <c r="X9" s="6" t="n">
        <v>44.99979979790255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3" t="inlineStr">
        <is>
          <t>d / mm</t>
        </is>
      </c>
      <c r="B1" s="3" t="inlineStr">
        <is>
          <t>f2 model (n=5) / Hz</t>
        </is>
      </c>
      <c r="C1" s="3" t="inlineStr">
        <is>
          <t>f1 mean / Hz</t>
        </is>
      </c>
      <c r="D1" s="3" t="inlineStr">
        <is>
          <t>f_beat model / Hz</t>
        </is>
      </c>
      <c r="E1" s="3" t="inlineStr">
        <is>
          <t>f2^2-f1^2 model / Hz^2</t>
        </is>
      </c>
      <c r="F1" s="3" t="inlineStr">
        <is>
          <t>ln d</t>
        </is>
      </c>
      <c r="G1" s="3" t="inlineStr">
        <is>
          <t>ln y best fit</t>
        </is>
      </c>
      <c r="H1" s="3" t="inlineStr">
        <is>
          <t>ln y max gradient</t>
        </is>
      </c>
      <c r="I1" s="3" t="inlineStr">
        <is>
          <t>ln y min gradient</t>
        </is>
      </c>
      <c r="J1" s="3" t="inlineStr">
        <is>
          <t>C (n=5)</t>
        </is>
      </c>
    </row>
    <row r="2">
      <c r="A2" t="n">
        <v>22.05</v>
      </c>
      <c r="B2" t="n">
        <v>8.910851224463794</v>
      </c>
      <c r="C2" t="n">
        <v>6.419803398936853</v>
      </c>
      <c r="D2" t="n">
        <v>2.491047825526941</v>
      </c>
      <c r="E2" t="n">
        <v>38.18939386352673</v>
      </c>
      <c r="F2" t="n">
        <v>-3.759082161431456</v>
      </c>
      <c r="G2" t="n">
        <v>3.347011353418912</v>
      </c>
      <c r="H2" t="n">
        <v>3.602004617583887</v>
      </c>
      <c r="I2" t="n">
        <v>3.187091070217516</v>
      </c>
      <c r="J2" t="n">
        <v>1.990607950853955e-07</v>
      </c>
    </row>
    <row r="3">
      <c r="A3" t="n">
        <v>22.44508474576271</v>
      </c>
      <c r="B3" t="n">
        <v>8.726879652587371</v>
      </c>
      <c r="C3" t="n">
        <v>6.419803398936853</v>
      </c>
      <c r="D3" t="n">
        <v>2.307076253650518</v>
      </c>
      <c r="E3" t="n">
        <v>34.94455278974231</v>
      </c>
      <c r="F3" t="n">
        <v>-3.737047799337225</v>
      </c>
      <c r="G3" t="n">
        <v>3.236551031465526</v>
      </c>
      <c r="H3" t="n">
        <v>3.468523650843565</v>
      </c>
      <c r="I3" t="n">
        <v>3.092789557139282</v>
      </c>
      <c r="J3" t="n">
        <v>1.990607950853955e-07</v>
      </c>
    </row>
    <row r="4">
      <c r="A4" t="n">
        <v>22.84016949152543</v>
      </c>
      <c r="B4" t="n">
        <v>8.557971401294777</v>
      </c>
      <c r="C4" t="n">
        <v>6.419803398936853</v>
      </c>
      <c r="D4" t="n">
        <v>2.138168002357924</v>
      </c>
      <c r="E4" t="n">
        <v>32.02499882437812</v>
      </c>
      <c r="F4" t="n">
        <v>-3.715013437242995</v>
      </c>
      <c r="G4" t="n">
        <v>3.126090709512146</v>
      </c>
      <c r="H4" t="n">
        <v>3.335042684103247</v>
      </c>
      <c r="I4" t="n">
        <v>2.99848804406105</v>
      </c>
      <c r="J4" t="n">
        <v>1.990607950853955e-07</v>
      </c>
    </row>
    <row r="5">
      <c r="A5" t="n">
        <v>23.23525423728814</v>
      </c>
      <c r="B5" t="n">
        <v>8.402808585425348</v>
      </c>
      <c r="C5" t="n">
        <v>6.419803398936853</v>
      </c>
      <c r="D5" t="n">
        <v>1.983005186488494</v>
      </c>
      <c r="E5" t="n">
        <v>29.39331644229675</v>
      </c>
      <c r="F5" t="n">
        <v>-3.692979075148764</v>
      </c>
      <c r="G5" t="n">
        <v>3.01563038755876</v>
      </c>
      <c r="H5" t="n">
        <v>3.201561717362924</v>
      </c>
      <c r="I5" t="n">
        <v>2.904186530982816</v>
      </c>
      <c r="J5" t="n">
        <v>1.990607950853955e-07</v>
      </c>
    </row>
    <row r="6">
      <c r="A6" t="n">
        <v>23.63033898305085</v>
      </c>
      <c r="B6" t="n">
        <v>8.260193963939066</v>
      </c>
      <c r="C6" t="n">
        <v>6.419803398936853</v>
      </c>
      <c r="D6" t="n">
        <v>1.840390565002213</v>
      </c>
      <c r="E6" t="n">
        <v>27.0169286408942</v>
      </c>
      <c r="F6" t="n">
        <v>-3.670944713054533</v>
      </c>
      <c r="G6" t="n">
        <v>2.905170065605377</v>
      </c>
      <c r="H6" t="n">
        <v>3.068080750622606</v>
      </c>
      <c r="I6" t="n">
        <v>2.809885017904584</v>
      </c>
      <c r="J6" t="n">
        <v>1.990607950853955e-07</v>
      </c>
    </row>
    <row r="7">
      <c r="A7" t="n">
        <v>24.02542372881356</v>
      </c>
      <c r="B7" t="n">
        <v>8.129039300708602</v>
      </c>
      <c r="C7" t="n">
        <v>6.419803398936853</v>
      </c>
      <c r="D7" t="n">
        <v>1.709235901771748</v>
      </c>
      <c r="E7" t="n">
        <v>24.86740427146382</v>
      </c>
      <c r="F7" t="n">
        <v>-3.648910350960303</v>
      </c>
      <c r="G7" t="n">
        <v>2.794709743651994</v>
      </c>
      <c r="H7" t="n">
        <v>2.934599783882287</v>
      </c>
      <c r="I7" t="n">
        <v>2.715583504826352</v>
      </c>
      <c r="J7" t="n">
        <v>1.990607950853955e-07</v>
      </c>
    </row>
    <row r="8">
      <c r="A8" t="n">
        <v>24.42050847457627</v>
      </c>
      <c r="B8" t="n">
        <v>8.008354980634831</v>
      </c>
      <c r="C8" t="n">
        <v>6.419803398936853</v>
      </c>
      <c r="D8" t="n">
        <v>1.588551581697978</v>
      </c>
      <c r="E8" t="n">
        <v>22.91987381485752</v>
      </c>
      <c r="F8" t="n">
        <v>-3.626875988866072</v>
      </c>
      <c r="G8" t="n">
        <v>2.684249421698611</v>
      </c>
      <c r="H8" t="n">
        <v>2.801118817141965</v>
      </c>
      <c r="I8" t="n">
        <v>2.621281991748118</v>
      </c>
      <c r="J8" t="n">
        <v>1.990607950853955e-07</v>
      </c>
    </row>
    <row r="9">
      <c r="A9" t="n">
        <v>24.81559322033898</v>
      </c>
      <c r="B9" t="n">
        <v>7.897240714067138</v>
      </c>
      <c r="C9" t="n">
        <v>6.419803398936853</v>
      </c>
      <c r="D9" t="n">
        <v>1.477437315130285</v>
      </c>
      <c r="E9" t="n">
        <v>21.15253521491846</v>
      </c>
      <c r="F9" t="n">
        <v>-3.604841626771842</v>
      </c>
      <c r="G9" t="n">
        <v>2.573789099745229</v>
      </c>
      <c r="H9" t="n">
        <v>2.667637850401643</v>
      </c>
      <c r="I9" t="n">
        <v>2.526980478669886</v>
      </c>
      <c r="J9" t="n">
        <v>1.990607950853955e-07</v>
      </c>
    </row>
    <row r="10">
      <c r="A10" t="n">
        <v>25.2106779661017</v>
      </c>
      <c r="B10" t="n">
        <v>7.794877190378488</v>
      </c>
      <c r="C10" t="n">
        <v>6.419803398936853</v>
      </c>
      <c r="D10" t="n">
        <v>1.375073791441634</v>
      </c>
      <c r="E10" t="n">
        <v>19.54623473208165</v>
      </c>
      <c r="F10" t="n">
        <v>-3.582807264677611</v>
      </c>
      <c r="G10" t="n">
        <v>2.463328777791846</v>
      </c>
      <c r="H10" t="n">
        <v>2.534156883661325</v>
      </c>
      <c r="I10" t="n">
        <v>2.432678965591654</v>
      </c>
      <c r="J10" t="n">
        <v>1.990607950853955e-07</v>
      </c>
    </row>
    <row r="11">
      <c r="A11" t="n">
        <v>25.60576271186441</v>
      </c>
      <c r="B11" t="n">
        <v>7.700518564264767</v>
      </c>
      <c r="C11" t="n">
        <v>6.419803398936853</v>
      </c>
      <c r="D11" t="n">
        <v>1.280715165327914</v>
      </c>
      <c r="E11" t="n">
        <v>18.08411047758514</v>
      </c>
      <c r="F11" t="n">
        <v>-3.560772902583381</v>
      </c>
      <c r="G11" t="n">
        <v>2.352868455838463</v>
      </c>
      <c r="H11" t="n">
        <v>2.400675916921003</v>
      </c>
      <c r="I11" t="n">
        <v>2.33837745251342</v>
      </c>
      <c r="J11" t="n">
        <v>1.990607950853955e-07</v>
      </c>
    </row>
    <row r="12">
      <c r="A12" t="n">
        <v>26.00084745762712</v>
      </c>
      <c r="B12" t="n">
        <v>7.613485676818557</v>
      </c>
      <c r="C12" t="n">
        <v>6.419803398936853</v>
      </c>
      <c r="D12" t="n">
        <v>1.193682277881703</v>
      </c>
      <c r="E12" t="n">
        <v>16.75128847012014</v>
      </c>
      <c r="F12" t="n">
        <v>-3.53873854048915</v>
      </c>
      <c r="G12" t="n">
        <v>2.242408133885077</v>
      </c>
      <c r="H12" t="n">
        <v>2.267194950180681</v>
      </c>
      <c r="I12" t="n">
        <v>2.244075939435188</v>
      </c>
      <c r="J12" t="n">
        <v>1.990607950853955e-07</v>
      </c>
    </row>
    <row r="13">
      <c r="A13" t="n">
        <v>26.39593220338983</v>
      </c>
      <c r="B13" t="n">
        <v>7.533159928440955</v>
      </c>
      <c r="C13" t="n">
        <v>6.419803398936853</v>
      </c>
      <c r="D13" t="n">
        <v>1.113356529504101</v>
      </c>
      <c r="E13" t="n">
        <v>15.53462282646735</v>
      </c>
      <c r="F13" t="n">
        <v>-3.516704178394919</v>
      </c>
      <c r="G13" t="n">
        <v>2.131947811931694</v>
      </c>
      <c r="H13" t="n">
        <v>2.133713983440359</v>
      </c>
      <c r="I13" t="n">
        <v>2.149774426356954</v>
      </c>
      <c r="J13" t="n">
        <v>1.990607950853955e-07</v>
      </c>
    </row>
    <row r="14">
      <c r="A14" t="n">
        <v>26.79101694915254</v>
      </c>
      <c r="B14" t="n">
        <v>7.458977732852002</v>
      </c>
      <c r="C14" t="n">
        <v>6.419803398936853</v>
      </c>
      <c r="D14" t="n">
        <v>1.039174333915149</v>
      </c>
      <c r="E14" t="n">
        <v>14.42247313818082</v>
      </c>
      <c r="F14" t="n">
        <v>-3.494669816300689</v>
      </c>
      <c r="G14" t="n">
        <v>2.021487489978311</v>
      </c>
      <c r="H14" t="n">
        <v>2.00023301670004</v>
      </c>
      <c r="I14" t="n">
        <v>2.055472913278722</v>
      </c>
      <c r="J14" t="n">
        <v>1.990607950853955e-07</v>
      </c>
    </row>
    <row r="15">
      <c r="A15" t="n">
        <v>27.18610169491525</v>
      </c>
      <c r="B15" t="n">
        <v>7.390425491384563</v>
      </c>
      <c r="C15" t="n">
        <v>6.419803398936853</v>
      </c>
      <c r="D15" t="n">
        <v>0.9706220924477096</v>
      </c>
      <c r="E15" t="n">
        <v>13.40451326270559</v>
      </c>
      <c r="F15" t="n">
        <v>-3.472635454206458</v>
      </c>
      <c r="G15" t="n">
        <v>1.911027168024928</v>
      </c>
      <c r="H15" t="n">
        <v>1.866752049959718</v>
      </c>
      <c r="I15" t="n">
        <v>1.961171400200488</v>
      </c>
      <c r="J15" t="n">
        <v>1.990607950853955e-07</v>
      </c>
    </row>
    <row r="16">
      <c r="A16" t="n">
        <v>27.58118644067797</v>
      </c>
      <c r="B16" t="n">
        <v>7.32703503484878</v>
      </c>
      <c r="C16" t="n">
        <v>6.419803398936853</v>
      </c>
      <c r="D16" t="n">
        <v>0.907231635911927</v>
      </c>
      <c r="E16" t="n">
        <v>12.47156672090029</v>
      </c>
      <c r="F16" t="n">
        <v>-3.450601092112227</v>
      </c>
      <c r="G16" t="n">
        <v>1.800566846071545</v>
      </c>
      <c r="H16" t="n">
        <v>1.733271083219396</v>
      </c>
      <c r="I16" t="n">
        <v>1.866869887122256</v>
      </c>
      <c r="J16" t="n">
        <v>1.990607950853955e-07</v>
      </c>
    </row>
    <row r="17">
      <c r="A17" t="n">
        <v>27.97627118644068</v>
      </c>
      <c r="B17" t="n">
        <v>7.268379486903911</v>
      </c>
      <c r="C17" t="n">
        <v>6.419803398936853</v>
      </c>
      <c r="D17" t="n">
        <v>0.8485760879670581</v>
      </c>
      <c r="E17" t="n">
        <v>11.61546468464439</v>
      </c>
      <c r="F17" t="n">
        <v>-3.428566730017997</v>
      </c>
      <c r="G17" t="n">
        <v>1.690106524118162</v>
      </c>
      <c r="H17" t="n">
        <v>1.599790116479078</v>
      </c>
      <c r="I17" t="n">
        <v>1.772568374044024</v>
      </c>
      <c r="J17" t="n">
        <v>1.990607950853955e-07</v>
      </c>
    </row>
    <row r="18">
      <c r="A18" t="n">
        <v>28.37135593220339</v>
      </c>
      <c r="B18" t="n">
        <v>7.214069508371115</v>
      </c>
      <c r="C18" t="n">
        <v>6.419803398936853</v>
      </c>
      <c r="D18" t="n">
        <v>0.794266109434262</v>
      </c>
      <c r="E18" t="n">
        <v>10.82892319060869</v>
      </c>
      <c r="F18" t="n">
        <v>-3.406532367923766</v>
      </c>
      <c r="G18" t="n">
        <v>1.579646202164779</v>
      </c>
      <c r="H18" t="n">
        <v>1.466309149738755</v>
      </c>
      <c r="I18" t="n">
        <v>1.67826686096579</v>
      </c>
      <c r="J18" t="n">
        <v>1.990607950853955e-07</v>
      </c>
    </row>
    <row r="19">
      <c r="A19" t="n">
        <v>28.7664406779661</v>
      </c>
      <c r="B19" t="n">
        <v>7.163749886505194</v>
      </c>
      <c r="C19" t="n">
        <v>6.419803398936853</v>
      </c>
      <c r="D19" t="n">
        <v>0.7439464875683406</v>
      </c>
      <c r="E19" t="n">
        <v>10.10543675540201</v>
      </c>
      <c r="F19" t="n">
        <v>-3.384498005829536</v>
      </c>
      <c r="G19" t="n">
        <v>1.469185880211393</v>
      </c>
      <c r="H19" t="n">
        <v>1.332828182998437</v>
      </c>
      <c r="I19" t="n">
        <v>1.583965347887558</v>
      </c>
      <c r="J19" t="n">
        <v>1.990607950853955e-07</v>
      </c>
    </row>
    <row r="20">
      <c r="A20" t="n">
        <v>29.16152542372881</v>
      </c>
      <c r="B20" t="n">
        <v>7.117096437106477</v>
      </c>
      <c r="C20" t="n">
        <v>6.419803398936853</v>
      </c>
      <c r="D20" t="n">
        <v>0.6972930381696241</v>
      </c>
      <c r="E20" t="n">
        <v>9.43918601407254</v>
      </c>
      <c r="F20" t="n">
        <v>-3.362463643735305</v>
      </c>
      <c r="G20" t="n">
        <v>1.358725558258014</v>
      </c>
      <c r="H20" t="n">
        <v>1.199347216258118</v>
      </c>
      <c r="I20" t="n">
        <v>1.489663834809326</v>
      </c>
      <c r="J20" t="n">
        <v>1.990607950853955e-07</v>
      </c>
    </row>
    <row r="21">
      <c r="A21" t="n">
        <v>29.55661016949153</v>
      </c>
      <c r="B21" t="n">
        <v>7.073813190646285</v>
      </c>
      <c r="C21" t="n">
        <v>6.419803398936853</v>
      </c>
      <c r="D21" t="n">
        <v>0.6540097917094316</v>
      </c>
      <c r="E21" t="n">
        <v>8.824957375160198</v>
      </c>
      <c r="F21" t="n">
        <v>-3.340429281641075</v>
      </c>
      <c r="G21" t="n">
        <v>1.248265236304627</v>
      </c>
      <c r="H21" t="n">
        <v>1.065866249517796</v>
      </c>
      <c r="I21" t="n">
        <v>1.395362321731092</v>
      </c>
      <c r="J21" t="n">
        <v>1.990607950853955e-07</v>
      </c>
    </row>
    <row r="22">
      <c r="A22" t="n">
        <v>29.95169491525424</v>
      </c>
      <c r="B22" t="n">
        <v>7.03362983641779</v>
      </c>
      <c r="C22" t="n">
        <v>6.419803398936853</v>
      </c>
      <c r="D22" t="n">
        <v>0.6138264374809372</v>
      </c>
      <c r="E22" t="n">
        <v>8.258072994745381</v>
      </c>
      <c r="F22" t="n">
        <v>-3.318394919546844</v>
      </c>
      <c r="G22" t="n">
        <v>1.137804914351245</v>
      </c>
      <c r="H22" t="n">
        <v>0.9323852827774743</v>
      </c>
      <c r="I22" t="n">
        <v>1.30106080865286</v>
      </c>
      <c r="J22" t="n">
        <v>1.990607950853955e-07</v>
      </c>
    </row>
    <row r="23">
      <c r="A23" t="n">
        <v>30.34677966101695</v>
      </c>
      <c r="B23" t="n">
        <v>6.996299401199283</v>
      </c>
      <c r="C23" t="n">
        <v>6.419803398936853</v>
      </c>
      <c r="D23" t="n">
        <v>0.5764960022624299</v>
      </c>
      <c r="E23" t="n">
        <v>7.734329630220276</v>
      </c>
      <c r="F23" t="n">
        <v>-3.296360557452614</v>
      </c>
      <c r="G23" t="n">
        <v>1.027344592397862</v>
      </c>
      <c r="H23" t="n">
        <v>0.7989043160371558</v>
      </c>
      <c r="I23" t="n">
        <v>1.206759295574628</v>
      </c>
      <c r="J23" t="n">
        <v>1.990607950853955e-07</v>
      </c>
    </row>
    <row r="24">
      <c r="A24" t="n">
        <v>30.74186440677966</v>
      </c>
      <c r="B24" t="n">
        <v>6.961596141098185</v>
      </c>
      <c r="C24" t="n">
        <v>6.419803398936853</v>
      </c>
      <c r="D24" t="n">
        <v>0.5417927421613316</v>
      </c>
      <c r="E24" t="n">
        <v>7.249945150751953</v>
      </c>
      <c r="F24" t="n">
        <v>-3.274326195358383</v>
      </c>
      <c r="G24" t="n">
        <v>0.9168842704444788</v>
      </c>
      <c r="H24" t="n">
        <v>0.6654233492968338</v>
      </c>
      <c r="I24" t="n">
        <v>1.112457782496394</v>
      </c>
      <c r="J24" t="n">
        <v>1.990607950853955e-07</v>
      </c>
    </row>
    <row r="25">
      <c r="A25" t="n">
        <v>31.13694915254237</v>
      </c>
      <c r="B25" t="n">
        <v>6.929313627184995</v>
      </c>
      <c r="C25" t="n">
        <v>6.419803398936853</v>
      </c>
      <c r="D25" t="n">
        <v>0.5095102282481418</v>
      </c>
      <c r="E25" t="n">
        <v>6.801511662890491</v>
      </c>
      <c r="F25" t="n">
        <v>-3.252291833264152</v>
      </c>
      <c r="G25" t="n">
        <v>0.806423948491096</v>
      </c>
      <c r="H25" t="n">
        <v>0.5319423825565117</v>
      </c>
      <c r="I25" t="n">
        <v>1.018156269418162</v>
      </c>
      <c r="J25" t="n">
        <v>1.990607950853955e-07</v>
      </c>
    </row>
    <row r="26">
      <c r="A26" t="n">
        <v>31.53203389830509</v>
      </c>
      <c r="B26" t="n">
        <v>6.89926300726705</v>
      </c>
      <c r="C26" t="n">
        <v>6.419803398936853</v>
      </c>
      <c r="D26" t="n">
        <v>0.4794596083301972</v>
      </c>
      <c r="E26" t="n">
        <v>6.385954362442407</v>
      </c>
      <c r="F26" t="n">
        <v>-3.230257471169922</v>
      </c>
      <c r="G26" t="n">
        <v>0.6959636265377096</v>
      </c>
      <c r="H26" t="n">
        <v>0.3984614158161897</v>
      </c>
      <c r="I26" t="n">
        <v>0.923854756339928</v>
      </c>
      <c r="J26" t="n">
        <v>1.990607950853955e-07</v>
      </c>
    </row>
    <row r="27">
      <c r="A27" t="n">
        <v>31.9271186440678</v>
      </c>
      <c r="B27" t="n">
        <v>6.871271427723513</v>
      </c>
      <c r="C27" t="n">
        <v>6.419803398936853</v>
      </c>
      <c r="D27" t="n">
        <v>0.4514680287866595</v>
      </c>
      <c r="E27" t="n">
        <v>6.000495352448348</v>
      </c>
      <c r="F27" t="n">
        <v>-3.208223109075691</v>
      </c>
      <c r="G27" t="n">
        <v>0.5855033045843303</v>
      </c>
      <c r="H27" t="n">
        <v>0.2649804490758711</v>
      </c>
      <c r="I27" t="n">
        <v>0.8295532432616959</v>
      </c>
      <c r="J27" t="n">
        <v>1.990607950853955e-07</v>
      </c>
    </row>
    <row r="28">
      <c r="A28" t="n">
        <v>32.32220338983051</v>
      </c>
      <c r="B28" t="n">
        <v>6.845180600749133</v>
      </c>
      <c r="C28" t="n">
        <v>6.419803398936853</v>
      </c>
      <c r="D28" t="n">
        <v>0.4253772018122799</v>
      </c>
      <c r="E28" t="n">
        <v>5.64262177587109</v>
      </c>
      <c r="F28" t="n">
        <v>-3.186188746981461</v>
      </c>
      <c r="G28" t="n">
        <v>0.4750429826309457</v>
      </c>
      <c r="H28" t="n">
        <v>0.1314994823355491</v>
      </c>
      <c r="I28" t="n">
        <v>0.735251730183462</v>
      </c>
      <c r="J28" t="n">
        <v>1.990607950853955e-07</v>
      </c>
    </row>
    <row r="29">
      <c r="A29" t="n">
        <v>32.71728813559322</v>
      </c>
      <c r="B29" t="n">
        <v>6.820845503653344</v>
      </c>
      <c r="C29" t="n">
        <v>6.419803398936853</v>
      </c>
      <c r="D29" t="n">
        <v>0.4010421047164909</v>
      </c>
      <c r="E29" t="n">
        <v>5.310057703706861</v>
      </c>
      <c r="F29" t="n">
        <v>-3.16415438488723</v>
      </c>
      <c r="G29" t="n">
        <v>0.3645826606775628</v>
      </c>
      <c r="H29" t="n">
        <v>-0.001981484404769418</v>
      </c>
      <c r="I29" t="n">
        <v>0.6409502171052317</v>
      </c>
      <c r="J29" t="n">
        <v>1.990607950853955e-07</v>
      </c>
    </row>
    <row r="30">
      <c r="A30" t="n">
        <v>33.11237288135593</v>
      </c>
      <c r="B30" t="n">
        <v>6.798133198047588</v>
      </c>
      <c r="C30" t="n">
        <v>6.419803398936853</v>
      </c>
      <c r="D30" t="n">
        <v>0.3783297991107348</v>
      </c>
      <c r="E30" t="n">
        <v>5.000739297395557</v>
      </c>
      <c r="F30" t="n">
        <v>-3.142120022793</v>
      </c>
      <c r="G30" t="n">
        <v>0.25412233872418</v>
      </c>
      <c r="H30" t="n">
        <v>-0.1354624511450915</v>
      </c>
      <c r="I30" t="n">
        <v>0.5466487040269978</v>
      </c>
      <c r="J30" t="n">
        <v>1.990607950853955e-07</v>
      </c>
    </row>
    <row r="31">
      <c r="A31" t="n">
        <v>33.50745762711864</v>
      </c>
      <c r="B31" t="n">
        <v>6.776921757839037</v>
      </c>
      <c r="C31" t="n">
        <v>6.419803398936853</v>
      </c>
      <c r="D31" t="n">
        <v>0.3571183589021834</v>
      </c>
      <c r="E31" t="n">
        <v>4.712792830870963</v>
      </c>
      <c r="F31" t="n">
        <v>-3.120085660698769</v>
      </c>
      <c r="G31" t="n">
        <v>0.1436620167707954</v>
      </c>
      <c r="H31" t="n">
        <v>-0.2689434178854135</v>
      </c>
      <c r="I31" t="n">
        <v>0.452347190948764</v>
      </c>
      <c r="J31" t="n">
        <v>1.990607950853955e-07</v>
      </c>
    </row>
    <row r="32">
      <c r="A32" t="n">
        <v>33.90254237288136</v>
      </c>
      <c r="B32" t="n">
        <v>6.757099295942398</v>
      </c>
      <c r="C32" t="n">
        <v>6.419803398936853</v>
      </c>
      <c r="D32" t="n">
        <v>0.3372958970055446</v>
      </c>
      <c r="E32" t="n">
        <v>4.444515214224075</v>
      </c>
      <c r="J32" t="n">
        <v>1.990607950853955e-07</v>
      </c>
    </row>
    <row r="33">
      <c r="A33" t="n">
        <v>34.29762711864407</v>
      </c>
      <c r="B33" t="n">
        <v>6.738563080531454</v>
      </c>
      <c r="C33" t="n">
        <v>6.419803398936853</v>
      </c>
      <c r="D33" t="n">
        <v>0.3187596815946003</v>
      </c>
      <c r="E33" t="n">
        <v>4.194356709300373</v>
      </c>
      <c r="J33" t="n">
        <v>1.990607950853955e-07</v>
      </c>
    </row>
    <row r="34">
      <c r="A34" t="n">
        <v>34.69271186440678</v>
      </c>
      <c r="B34" t="n">
        <v>6.721218732484942</v>
      </c>
      <c r="C34" t="n">
        <v>6.419803398936853</v>
      </c>
      <c r="D34" t="n">
        <v>0.3014153335480882</v>
      </c>
      <c r="E34" t="n">
        <v>3.960905568905304</v>
      </c>
      <c r="J34" t="n">
        <v>1.990607950853955e-07</v>
      </c>
    </row>
    <row r="35">
      <c r="A35" t="n">
        <v>35.08779661016949</v>
      </c>
      <c r="B35" t="n">
        <v>6.704979496443761</v>
      </c>
      <c r="C35" t="n">
        <v>6.419803398936853</v>
      </c>
      <c r="D35" t="n">
        <v>0.2851760975069073</v>
      </c>
      <c r="E35" t="n">
        <v>3.742874366730051</v>
      </c>
      <c r="J35" t="n">
        <v>1.990607950853955e-07</v>
      </c>
    </row>
    <row r="36">
      <c r="A36" t="n">
        <v>35.48288135593221</v>
      </c>
      <c r="B36" t="n">
        <v>6.689765578593383</v>
      </c>
      <c r="C36" t="n">
        <v>6.419803398936853</v>
      </c>
      <c r="D36" t="n">
        <v>0.2699621796565301</v>
      </c>
      <c r="E36" t="n">
        <v>3.539087815531687</v>
      </c>
      <c r="J36" t="n">
        <v>1.990607950853955e-07</v>
      </c>
    </row>
    <row r="37">
      <c r="A37" t="n">
        <v>35.87796610169492</v>
      </c>
      <c r="B37" t="n">
        <v>6.675503544922083</v>
      </c>
      <c r="C37" t="n">
        <v>6.419803398936853</v>
      </c>
      <c r="D37" t="n">
        <v>0.2557001459852302</v>
      </c>
      <c r="E37" t="n">
        <v>3.348471897266131</v>
      </c>
      <c r="J37" t="n">
        <v>1.990607950853955e-07</v>
      </c>
    </row>
    <row r="38">
      <c r="A38" t="n">
        <v>36.27305084745763</v>
      </c>
      <c r="B38" t="n">
        <v>6.662125774286547</v>
      </c>
      <c r="C38" t="n">
        <v>6.419803398936853</v>
      </c>
      <c r="D38" t="n">
        <v>0.2423223753496941</v>
      </c>
      <c r="E38" t="n">
        <v>3.17004415141195</v>
      </c>
      <c r="J38" t="n">
        <v>1.990607950853955e-07</v>
      </c>
    </row>
    <row r="39">
      <c r="A39" t="n">
        <v>36.66813559322034</v>
      </c>
      <c r="B39" t="n">
        <v>6.649569961146055</v>
      </c>
      <c r="C39" t="n">
        <v>6.419803398936853</v>
      </c>
      <c r="D39" t="n">
        <v>0.2297665622092016</v>
      </c>
      <c r="E39" t="n">
        <v>3.002904987174765</v>
      </c>
      <c r="J39" t="n">
        <v>1.990607950853955e-07</v>
      </c>
    </row>
    <row r="40">
      <c r="A40" t="n">
        <v>37.06322033898305</v>
      </c>
      <c r="B40" t="n">
        <v>6.637778663308709</v>
      </c>
      <c r="C40" t="n">
        <v>6.419803398936853</v>
      </c>
      <c r="D40" t="n">
        <v>0.217975264371856</v>
      </c>
      <c r="E40" t="n">
        <v>2.846229902075177</v>
      </c>
      <c r="J40" t="n">
        <v>1.990607950853955e-07</v>
      </c>
    </row>
    <row r="41">
      <c r="A41" t="n">
        <v>37.45830508474576</v>
      </c>
      <c r="B41" t="n">
        <v>6.626698890471893</v>
      </c>
      <c r="C41" t="n">
        <v>6.419803398936853</v>
      </c>
      <c r="D41" t="n">
        <v>0.2068954915350396</v>
      </c>
      <c r="E41" t="n">
        <v>2.699262503980246</v>
      </c>
      <c r="J41" t="n">
        <v>1.990607950853955e-07</v>
      </c>
    </row>
    <row r="42">
      <c r="A42" t="n">
        <v>37.85338983050848</v>
      </c>
      <c r="B42" t="n">
        <v>6.616281729737847</v>
      </c>
      <c r="C42" t="n">
        <v>6.419803398936853</v>
      </c>
      <c r="D42" t="n">
        <v>0.1964783308009936</v>
      </c>
      <c r="E42" t="n">
        <v>2.561308246261659</v>
      </c>
      <c r="J42" t="n">
        <v>1.990607950853955e-07</v>
      </c>
    </row>
    <row r="43">
      <c r="A43" t="n">
        <v>38.24847457627119</v>
      </c>
      <c r="B43" t="n">
        <v>6.606482004647272</v>
      </c>
      <c r="C43" t="n">
        <v>6.419803398936853</v>
      </c>
      <c r="D43" t="n">
        <v>0.1866786057104184</v>
      </c>
      <c r="E43" t="n">
        <v>2.43172879672705</v>
      </c>
      <c r="J43" t="n">
        <v>1.990607950853955e-07</v>
      </c>
    </row>
    <row r="44">
      <c r="A44" t="n">
        <v>38.64355932203389</v>
      </c>
      <c r="B44" t="n">
        <v>6.597257964602271</v>
      </c>
      <c r="C44" t="n">
        <v>6.419803398936853</v>
      </c>
      <c r="D44" t="n">
        <v>0.1774545656654176</v>
      </c>
      <c r="E44" t="n">
        <v>2.309936970506928</v>
      </c>
      <c r="J44" t="n">
        <v>1.990607950853955e-07</v>
      </c>
    </row>
    <row r="45">
      <c r="A45" t="n">
        <v>39.03864406779661</v>
      </c>
      <c r="B45" t="n">
        <v>6.588571001847659</v>
      </c>
      <c r="C45" t="n">
        <v>6.419803398936853</v>
      </c>
      <c r="D45" t="n">
        <v>0.1687676029108056</v>
      </c>
      <c r="E45" t="n">
        <v>2.195392165386682</v>
      </c>
      <c r="J45" t="n">
        <v>1.990607950853955e-07</v>
      </c>
    </row>
    <row r="46">
      <c r="A46" t="n">
        <v>39.43372881355933</v>
      </c>
      <c r="B46" t="n">
        <v>6.580385393449313</v>
      </c>
      <c r="C46" t="n">
        <v>6.419803398936853</v>
      </c>
      <c r="D46" t="n">
        <v>0.1605819945124596</v>
      </c>
      <c r="E46" t="n">
        <v>2.087596245319884</v>
      </c>
      <c r="J46" t="n">
        <v>1.990607950853955e-07</v>
      </c>
    </row>
    <row r="47">
      <c r="A47" t="n">
        <v>39.82881355932203</v>
      </c>
      <c r="B47" t="n">
        <v>6.572668065952447</v>
      </c>
      <c r="C47" t="n">
        <v>6.419803398936853</v>
      </c>
      <c r="D47" t="n">
        <v>0.152864667015594</v>
      </c>
      <c r="E47" t="n">
        <v>1.986089824189902</v>
      </c>
      <c r="J47" t="n">
        <v>1.990607950853955e-07</v>
      </c>
    </row>
    <row r="48">
      <c r="A48" t="n">
        <v>40.22389830508475</v>
      </c>
      <c r="B48" t="n">
        <v>6.565388380623539</v>
      </c>
      <c r="C48" t="n">
        <v>6.419803398936853</v>
      </c>
      <c r="D48" t="n">
        <v>0.1455849816866861</v>
      </c>
      <c r="E48" t="n">
        <v>1.890448907425406</v>
      </c>
      <c r="J48" t="n">
        <v>1.990607950853955e-07</v>
      </c>
    </row>
    <row r="49">
      <c r="A49" t="n">
        <v>40.61898305084746</v>
      </c>
      <c r="B49" t="n">
        <v>6.558517937379468</v>
      </c>
      <c r="C49" t="n">
        <v>6.419803398936853</v>
      </c>
      <c r="D49" t="n">
        <v>0.1387145384426143</v>
      </c>
      <c r="E49" t="n">
        <v>1.800281853927053</v>
      </c>
      <c r="J49" t="n">
        <v>1.990607950853955e-07</v>
      </c>
    </row>
    <row r="50">
      <c r="A50" t="n">
        <v>41.01406779661017</v>
      </c>
      <c r="B50" t="n">
        <v>6.552030395688026</v>
      </c>
      <c r="C50" t="n">
        <v>6.419803398936853</v>
      </c>
      <c r="D50" t="n">
        <v>0.1322269967511724</v>
      </c>
      <c r="E50" t="n">
        <v>1.71522662501861</v>
      </c>
      <c r="J50" t="n">
        <v>1.990607950853955e-07</v>
      </c>
    </row>
    <row r="51">
      <c r="A51" t="n">
        <v>41.40915254237288</v>
      </c>
      <c r="B51" t="n">
        <v>6.545901310887231</v>
      </c>
      <c r="C51" t="n">
        <v>6.419803398936853</v>
      </c>
      <c r="D51" t="n">
        <v>0.126097911950378</v>
      </c>
      <c r="E51" t="n">
        <v>1.634948290874003</v>
      </c>
      <c r="J51" t="n">
        <v>1.990607950853955e-07</v>
      </c>
    </row>
    <row r="52">
      <c r="A52" t="n">
        <v>41.8042372881356</v>
      </c>
      <c r="B52" t="n">
        <v>6.540107984518345</v>
      </c>
      <c r="C52" t="n">
        <v>6.419803398936853</v>
      </c>
      <c r="D52" t="n">
        <v>0.1203045855814917</v>
      </c>
      <c r="E52" t="n">
        <v>1.559136768159428</v>
      </c>
      <c r="J52" t="n">
        <v>1.990607950853955e-07</v>
      </c>
    </row>
    <row r="53">
      <c r="A53" t="n">
        <v>42.19932203389831</v>
      </c>
      <c r="B53" t="n">
        <v>6.534629327400735</v>
      </c>
      <c r="C53" t="n">
        <v>6.419803398936853</v>
      </c>
      <c r="D53" t="n">
        <v>0.1148259284638815</v>
      </c>
      <c r="E53" t="n">
        <v>1.487504765524595</v>
      </c>
      <c r="J53" t="n">
        <v>1.990607950853955e-07</v>
      </c>
    </row>
    <row r="54">
      <c r="A54" t="n">
        <v>42.59440677966101</v>
      </c>
      <c r="B54" t="n">
        <v>6.52944573429712</v>
      </c>
      <c r="C54" t="n">
        <v>6.419803398936853</v>
      </c>
      <c r="D54" t="n">
        <v>0.1096423353602667</v>
      </c>
      <c r="E54" t="n">
        <v>1.419785916129685</v>
      </c>
      <c r="J54" t="n">
        <v>1.990607950853955e-07</v>
      </c>
    </row>
    <row r="55">
      <c r="A55" t="n">
        <v>42.98949152542373</v>
      </c>
      <c r="B55" t="n">
        <v>6.524538969126389</v>
      </c>
      <c r="C55" t="n">
        <v>6.419803398936853</v>
      </c>
      <c r="D55" t="n">
        <v>0.1047355701895354</v>
      </c>
      <c r="E55" t="n">
        <v>1.355733078647664</v>
      </c>
      <c r="J55" t="n">
        <v>1.990607950853955e-07</v>
      </c>
    </row>
    <row r="56">
      <c r="A56" t="n">
        <v>43.38457627118644</v>
      </c>
      <c r="B56" t="n">
        <v>6.519892059779365</v>
      </c>
      <c r="C56" t="n">
        <v>6.419803398936853</v>
      </c>
      <c r="D56" t="n">
        <v>0.1000886608425118</v>
      </c>
      <c r="E56" t="n">
        <v>1.295116790172838</v>
      </c>
      <c r="J56" t="n">
        <v>1.990607950853955e-07</v>
      </c>
    </row>
    <row r="57">
      <c r="A57" t="n">
        <v>43.77966101694915</v>
      </c>
      <c r="B57" t="n">
        <v>6.515489201681604</v>
      </c>
      <c r="C57" t="n">
        <v>6.419803398936853</v>
      </c>
      <c r="D57" t="n">
        <v>0.09568580274475114</v>
      </c>
      <c r="E57" t="n">
        <v>1.237723856228414</v>
      </c>
      <c r="J57" t="n">
        <v>1.990607950853955e-07</v>
      </c>
    </row>
    <row r="58">
      <c r="A58" t="n">
        <v>44.17474576271186</v>
      </c>
      <c r="B58" t="n">
        <v>6.511315669327337</v>
      </c>
      <c r="C58" t="n">
        <v>6.419803398936853</v>
      </c>
      <c r="D58" t="n">
        <v>0.09151227039048404</v>
      </c>
      <c r="E58" t="n">
        <v>1.183356064626534</v>
      </c>
      <c r="J58" t="n">
        <v>1.990607950853955e-07</v>
      </c>
    </row>
    <row r="59">
      <c r="A59" t="n">
        <v>44.56983050847458</v>
      </c>
      <c r="B59" t="n">
        <v>6.507357735081072</v>
      </c>
      <c r="C59" t="n">
        <v>6.419803398936853</v>
      </c>
      <c r="D59" t="n">
        <v>0.08755433614421904</v>
      </c>
      <c r="E59" t="n">
        <v>1.131829011318282</v>
      </c>
      <c r="J59" t="n">
        <v>1.990607950853955e-07</v>
      </c>
    </row>
    <row r="60">
      <c r="A60" t="n">
        <v>44.96491525423728</v>
      </c>
      <c r="B60" t="n">
        <v>6.503602594608704</v>
      </c>
      <c r="C60" t="n">
        <v>6.419803398936853</v>
      </c>
      <c r="D60" t="n">
        <v>0.08379919567185112</v>
      </c>
      <c r="E60" t="n">
        <v>1.082971027599888</v>
      </c>
      <c r="J60" t="n">
        <v>1.990607950853955e-07</v>
      </c>
    </row>
    <row r="61">
      <c r="A61" t="n">
        <v>45.36</v>
      </c>
      <c r="B61" t="n">
        <v>6.500038298359066</v>
      </c>
      <c r="C61" t="n">
        <v>6.419803398936853</v>
      </c>
      <c r="D61" t="n">
        <v>0.08023489942221307</v>
      </c>
      <c r="E61" t="n">
        <v>1.036622199133445</v>
      </c>
      <c r="J61" t="n">
        <v>1.990607950853955e-07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60" customWidth="1" min="3" max="3"/>
  </cols>
  <sheetData>
    <row r="1">
      <c r="A1" s="3" t="inlineStr">
        <is>
          <t>quantity</t>
        </is>
      </c>
      <c r="B1" s="3" t="inlineStr">
        <is>
          <t>value</t>
        </is>
      </c>
      <c r="C1" s="3" t="inlineStr">
        <is>
          <t>note</t>
        </is>
      </c>
    </row>
    <row r="2">
      <c r="A2" t="inlineStr">
        <is>
          <t>ln-ln graph: gradient -n (best fit)</t>
        </is>
      </c>
      <c r="B2" t="n">
        <v>-5.013093707047047</v>
      </c>
      <c r="C2" t="inlineStr">
        <is>
          <t>least squares (Excel LINEST)</t>
        </is>
      </c>
    </row>
    <row r="3">
      <c r="A3" t="inlineStr">
        <is>
          <t>standard error of gradient</t>
        </is>
      </c>
      <c r="B3" t="n">
        <v>0.1258519624226869</v>
      </c>
      <c r="C3" t="inlineStr">
        <is>
          <t>LINEST</t>
        </is>
      </c>
    </row>
    <row r="4">
      <c r="A4" t="inlineStr">
        <is>
          <t>max gradient</t>
        </is>
      </c>
      <c r="B4" t="n">
        <v>-6.057854825544101</v>
      </c>
      <c r="C4" t="inlineStr">
        <is>
          <t>line through extreme error-bar corners</t>
        </is>
      </c>
    </row>
    <row r="5">
      <c r="A5" t="inlineStr">
        <is>
          <t>min gradient</t>
        </is>
      </c>
      <c r="B5" t="n">
        <v>-4.279747817293266</v>
      </c>
      <c r="C5" t="inlineStr"/>
    </row>
    <row r="6">
      <c r="A6" t="inlineStr">
        <is>
          <t xml:space="preserve">n = </t>
        </is>
      </c>
      <c r="B6" t="inlineStr">
        <is>
          <t>5.01 ± 0.89</t>
        </is>
      </c>
      <c r="C6" t="inlineStr">
        <is>
          <t>(n_max - n_min)/2</t>
        </is>
      </c>
    </row>
    <row r="7">
      <c r="A7" t="inlineStr">
        <is>
          <t>R^2</t>
        </is>
      </c>
      <c r="B7" t="n">
        <v>0.996232784896691</v>
      </c>
      <c r="C7" t="inlineStr"/>
    </row>
    <row r="8">
      <c r="A8" t="inlineStr">
        <is>
          <t>intercept ln C</t>
        </is>
      </c>
      <c r="B8" t="n">
        <v>-15.49761977432593</v>
      </c>
      <c r="C8" t="inlineStr">
        <is>
          <t>± 0.433 (LINEST)</t>
        </is>
      </c>
    </row>
    <row r="9">
      <c r="A9" t="inlineStr">
        <is>
          <t>C from intercept / m^5 s^-2</t>
        </is>
      </c>
      <c r="B9" s="7" t="n">
        <v>1.859812872781233e-07</v>
      </c>
      <c r="C9" t="inlineStr">
        <is>
          <t>± 5.83e-07 (max/min lines)</t>
        </is>
      </c>
    </row>
    <row r="10">
      <c r="A10" t="inlineStr"/>
      <c r="C10" t="inlineStr"/>
    </row>
    <row r="11">
      <c r="A11" t="inlineStr">
        <is>
          <t>fixed n = 5: C (least squares) / m^5 s^-2</t>
        </is>
      </c>
      <c r="B11" s="7" t="n">
        <v>1.990607950853955e-07</v>
      </c>
      <c r="C11" t="inlineStr"/>
    </row>
    <row r="12">
      <c r="A12" t="inlineStr">
        <is>
          <t>fixed n = 5: mean of C_i</t>
        </is>
      </c>
      <c r="B12" s="7" t="n">
        <v>1.94841376297194e-07</v>
      </c>
      <c r="C12" t="inlineStr">
        <is>
          <t>half-range 1.75e-08, SD 1.17e-08</t>
        </is>
      </c>
    </row>
    <row r="13">
      <c r="A13" t="inlineStr">
        <is>
          <t>chi^2 / dof for n = 5</t>
        </is>
      </c>
      <c r="B13" t="inlineStr">
        <is>
          <t>0.7 / 7</t>
        </is>
      </c>
      <c r="C13" t="inlineStr">
        <is>
          <t>with the adopted uncertainties</t>
        </is>
      </c>
    </row>
    <row r="14">
      <c r="A14" t="inlineStr"/>
      <c r="C14" t="inlineStr"/>
    </row>
    <row r="15">
      <c r="A15" t="inlineStr">
        <is>
          <t>f1: mean over all d / Hz</t>
        </is>
      </c>
      <c r="B15" t="n">
        <v>6.419803398936853</v>
      </c>
      <c r="C15" t="inlineStr">
        <is>
          <t>half-range 0.0016, SD 0.0011</t>
        </is>
      </c>
    </row>
    <row r="16">
      <c r="A16" t="inlineStr">
        <is>
          <t>f1: slope against d / Hz per mm</t>
        </is>
      </c>
      <c r="B16" s="7" t="n">
        <v>5.24388593699597e-05</v>
      </c>
      <c r="C16" t="inlineStr">
        <is>
          <t>± 6.73e-05 (consistent with 0 =&gt; f1 independent of d)</t>
        </is>
      </c>
    </row>
    <row r="17">
      <c r="A17" t="inlineStr">
        <is>
          <t>f1: largest deviation from mean / Hz</t>
        </is>
      </c>
      <c r="B17" t="n">
        <v>0.001841757622172757</v>
      </c>
      <c r="C17" t="inlineStr">
        <is>
          <t>mean adopted uncertainty 0.0362 Hz</t>
        </is>
      </c>
    </row>
    <row r="19">
      <c r="A19" s="1" t="inlineStr">
        <is>
          <t>Comparison with the dipole model f2 = sqrt(f1_mean^2 + C d^-5), C from the fixed-n fit</t>
        </is>
      </c>
    </row>
    <row r="20">
      <c r="A20" s="3" t="inlineStr">
        <is>
          <t>d / mm</t>
        </is>
      </c>
      <c r="B20" s="3" t="inlineStr">
        <is>
          <t>f2 exp / Hz</t>
        </is>
      </c>
      <c r="C20" s="3" t="inlineStr">
        <is>
          <t>df2 / Hz</t>
        </is>
      </c>
      <c r="D20" s="3" t="inlineStr">
        <is>
          <t>f2 theory / Hz</t>
        </is>
      </c>
      <c r="E20" s="3" t="inlineStr">
        <is>
          <t>% difference</t>
        </is>
      </c>
      <c r="F20" s="3" t="inlineStr">
        <is>
          <t>within error bar?</t>
        </is>
      </c>
    </row>
    <row r="21">
      <c r="A21" t="n">
        <v>24.5</v>
      </c>
      <c r="B21" t="n">
        <v>8.04010476307225</v>
      </c>
      <c r="C21" t="n">
        <v>0.3502364149984265</v>
      </c>
      <c r="D21" t="n">
        <v>7.985257094388074</v>
      </c>
      <c r="E21" t="n">
        <v>0.6868616506126307</v>
      </c>
      <c r="F21" t="inlineStr">
        <is>
          <t>yes</t>
        </is>
      </c>
    </row>
    <row r="22">
      <c r="A22" t="n">
        <v>26.5</v>
      </c>
      <c r="B22" t="n">
        <v>7.469702447162724</v>
      </c>
      <c r="C22" t="n">
        <v>0.05292570486896046</v>
      </c>
      <c r="D22" t="n">
        <v>7.513045708495214</v>
      </c>
      <c r="E22" t="n">
        <v>-0.5769066636115436</v>
      </c>
      <c r="F22" t="inlineStr">
        <is>
          <t>yes</t>
        </is>
      </c>
    </row>
    <row r="23">
      <c r="A23" t="n">
        <v>28.5</v>
      </c>
      <c r="B23" t="n">
        <v>7.15075851183524</v>
      </c>
      <c r="C23" t="n">
        <v>0.05294949931762433</v>
      </c>
      <c r="D23" t="n">
        <v>7.197263081355261</v>
      </c>
      <c r="E23" t="n">
        <v>-0.6461424154480693</v>
      </c>
      <c r="F23" t="inlineStr">
        <is>
          <t>yes</t>
        </is>
      </c>
    </row>
    <row r="24">
      <c r="A24" t="n">
        <v>31</v>
      </c>
      <c r="B24" t="n">
        <v>6.919233263292023</v>
      </c>
      <c r="C24" t="n">
        <v>0.04357558313137169</v>
      </c>
      <c r="D24" t="n">
        <v>6.940241804469249</v>
      </c>
      <c r="E24" t="n">
        <v>-0.3027061847282777</v>
      </c>
      <c r="F24" t="inlineStr">
        <is>
          <t>yes</t>
        </is>
      </c>
    </row>
    <row r="25">
      <c r="A25" t="n">
        <v>33.5</v>
      </c>
      <c r="B25" t="n">
        <v>6.763256924148159</v>
      </c>
      <c r="C25" t="n">
        <v>0.03793698840587734</v>
      </c>
      <c r="D25" t="n">
        <v>6.777308946561605</v>
      </c>
      <c r="E25" t="n">
        <v>-0.2073392628880356</v>
      </c>
      <c r="F25" t="inlineStr">
        <is>
          <t>yes</t>
        </is>
      </c>
    </row>
    <row r="26">
      <c r="A26" t="n">
        <v>36</v>
      </c>
      <c r="B26" t="n">
        <v>6.661122152854</v>
      </c>
      <c r="C26" t="n">
        <v>0.04137854989060052</v>
      </c>
      <c r="D26" t="n">
        <v>6.671280033581064</v>
      </c>
      <c r="E26" t="n">
        <v>-0.152262844250755</v>
      </c>
      <c r="F26" t="inlineStr">
        <is>
          <t>yes</t>
        </is>
      </c>
    </row>
    <row r="27">
      <c r="A27" t="n">
        <v>39</v>
      </c>
      <c r="B27" t="n">
        <v>6.607491225224891</v>
      </c>
      <c r="C27" t="n">
        <v>0.04315784008143631</v>
      </c>
      <c r="D27" t="n">
        <v>6.589398015201572</v>
      </c>
      <c r="E27" t="n">
        <v>0.2745806215010616</v>
      </c>
      <c r="F27" t="inlineStr">
        <is>
          <t>yes</t>
        </is>
      </c>
    </row>
    <row r="28">
      <c r="A28" t="n">
        <v>42</v>
      </c>
      <c r="B28" t="n">
        <v>6.527742249866539</v>
      </c>
      <c r="C28" t="n">
        <v>0.02948928476978319</v>
      </c>
      <c r="D28" t="n">
        <v>6.537355259064793</v>
      </c>
      <c r="E28" t="n">
        <v>-0.1470473733995859</v>
      </c>
      <c r="F2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1" t="inlineStr">
        <is>
          <t>Sample calculation for d = 24.5 mm (live Excel formulas; same steps as the Python code)</t>
        </is>
      </c>
    </row>
    <row r="3">
      <c r="A3" t="inlineStr">
        <is>
          <t>trial</t>
        </is>
      </c>
      <c r="B3" t="n">
        <v>1</v>
      </c>
      <c r="C3" t="n">
        <v>2</v>
      </c>
      <c r="D3" t="n">
        <v>3</v>
      </c>
      <c r="E3" t="n">
        <v>4</v>
      </c>
      <c r="F3" t="n">
        <v>5</v>
      </c>
    </row>
    <row r="4">
      <c r="A4" t="inlineStr">
        <is>
          <t>f1 / Hz</t>
        </is>
      </c>
      <c r="B4" t="n">
        <v>6.419406301627559</v>
      </c>
      <c r="C4" t="n">
        <v>6.421293219437205</v>
      </c>
      <c r="D4" t="n">
        <v>6.419514099267027</v>
      </c>
      <c r="E4" t="n">
        <v>6.416411537105998</v>
      </c>
      <c r="F4" t="n">
        <v>6.420021950351175</v>
      </c>
    </row>
    <row r="5">
      <c r="A5" t="inlineStr">
        <is>
          <t>f2 / Hz</t>
        </is>
      </c>
      <c r="B5" t="n">
        <v>8.540313099876714</v>
      </c>
      <c r="C5" t="n">
        <v>7.839840269879861</v>
      </c>
      <c r="D5" t="n">
        <v>7.942010611956036</v>
      </c>
      <c r="E5" t="n">
        <v>7.987987803403493</v>
      </c>
      <c r="F5" t="n">
        <v>7.890372030245143</v>
      </c>
    </row>
    <row r="6">
      <c r="A6" t="inlineStr">
        <is>
          <t>T / s</t>
        </is>
      </c>
      <c r="B6" t="n">
        <v>10.6210789272031</v>
      </c>
      <c r="C6" t="n">
        <v>9.600323504633543</v>
      </c>
      <c r="D6" t="n">
        <v>9.608657118786871</v>
      </c>
      <c r="E6" t="n">
        <v>9.491344915254221</v>
      </c>
      <c r="F6" t="n">
        <v>9.383333333333361</v>
      </c>
    </row>
    <row r="8">
      <c r="A8" t="inlineStr">
        <is>
          <t>mean f1</t>
        </is>
      </c>
      <c r="B8">
        <f>AVERAGE(B4:F4)</f>
        <v/>
      </c>
    </row>
    <row r="9">
      <c r="A9" t="inlineStr">
        <is>
          <t>half-range f1</t>
        </is>
      </c>
      <c r="B9">
        <f>(MAX(B4:F4)-MIN(B4:F4))/2</f>
        <v/>
      </c>
    </row>
    <row r="10">
      <c r="A10" t="inlineStr">
        <is>
          <t>mean T</t>
        </is>
      </c>
      <c r="B10">
        <f>AVERAGE(B6:F6)</f>
        <v/>
      </c>
    </row>
    <row r="11">
      <c r="A11" t="inlineStr">
        <is>
          <t>half-bin = 1/(2T)</t>
        </is>
      </c>
      <c r="B11">
        <f>0.5/B10</f>
        <v/>
      </c>
    </row>
    <row r="12">
      <c r="A12" t="inlineStr">
        <is>
          <t>adopted df1 = MAX(half-range, half-bin)</t>
        </is>
      </c>
      <c r="B12">
        <f>MAX(B9,B11)</f>
        <v/>
      </c>
    </row>
    <row r="13">
      <c r="A13" t="inlineStr">
        <is>
          <t>mean f2</t>
        </is>
      </c>
      <c r="B13">
        <f>AVERAGE(B5:F5)</f>
        <v/>
      </c>
    </row>
    <row r="14">
      <c r="A14" t="inlineStr">
        <is>
          <t>half-range f2</t>
        </is>
      </c>
      <c r="B14">
        <f>(MAX(B5:F5)-MIN(B5:F5))/2</f>
        <v/>
      </c>
    </row>
    <row r="15">
      <c r="A15" t="inlineStr">
        <is>
          <t>adopted df2</t>
        </is>
      </c>
      <c r="B15">
        <f>MAX(B14,B11)</f>
        <v/>
      </c>
    </row>
    <row r="16">
      <c r="A16" t="inlineStr">
        <is>
          <t>f_avg = (f1+f2)/2</t>
        </is>
      </c>
      <c r="B16">
        <f>(B8+B13)/2</f>
        <v/>
      </c>
    </row>
    <row r="17">
      <c r="A17" t="inlineStr">
        <is>
          <t>df_avg = (df1+df2)/2</t>
        </is>
      </c>
      <c r="B17">
        <f>(B12+B15)/2</f>
        <v/>
      </c>
    </row>
    <row r="18">
      <c r="A18" t="inlineStr">
        <is>
          <t>f_beat = f2-f1</t>
        </is>
      </c>
      <c r="B18">
        <f>B13-B8</f>
        <v/>
      </c>
    </row>
    <row r="19">
      <c r="A19" t="inlineStr">
        <is>
          <t>df_beat = df1+df2</t>
        </is>
      </c>
      <c r="B19">
        <f>B12+B15</f>
        <v/>
      </c>
    </row>
    <row r="20">
      <c r="A20" t="inlineStr">
        <is>
          <t>y = f2^2-f1^2</t>
        </is>
      </c>
      <c r="B20">
        <f>B13^2-B8^2</f>
        <v/>
      </c>
    </row>
    <row r="21">
      <c r="A21" t="inlineStr">
        <is>
          <t>dy = 2 f2 df2 + 2 f1 df1</t>
        </is>
      </c>
      <c r="B21">
        <f>2*B13*B15+2*B8*B12</f>
        <v/>
      </c>
    </row>
    <row r="22">
      <c r="A22" t="inlineStr">
        <is>
          <t>ln(d/m)</t>
        </is>
      </c>
      <c r="B22">
        <f>LN(24.5/1000)</f>
        <v/>
      </c>
    </row>
    <row r="23">
      <c r="A23" t="inlineStr">
        <is>
          <t>d ln d = dd/d</t>
        </is>
      </c>
      <c r="B23">
        <f>0.5/24.5</f>
        <v/>
      </c>
    </row>
    <row r="24">
      <c r="A24" t="inlineStr">
        <is>
          <t>ln y</t>
        </is>
      </c>
      <c r="B24">
        <f>LN(B20)</f>
        <v/>
      </c>
    </row>
    <row r="25">
      <c r="A25" t="inlineStr">
        <is>
          <t>d ln y = dy/y</t>
        </is>
      </c>
      <c r="B25">
        <f>B21/B20</f>
        <v/>
      </c>
    </row>
    <row r="26">
      <c r="A26" t="inlineStr">
        <is>
          <t>C_i = y d^5 / m^5 s^-2</t>
        </is>
      </c>
      <c r="B26">
        <f>B20*(24.5/1000)^5</f>
        <v/>
      </c>
    </row>
    <row r="27">
      <c r="A27" t="inlineStr">
        <is>
          <t>(f1/f2)^2 (predicted peak-height ratio)</t>
        </is>
      </c>
      <c r="B27">
        <f>(B8/B13)^2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Normal-coordinate method: f1 = peak of FFT(xA+xB), f2 = peak of FFT(xB-xA)</t>
        </is>
      </c>
    </row>
    <row r="2">
      <c r="A2" s="3" t="inlineStr">
        <is>
          <t>d / mm</t>
        </is>
      </c>
      <c r="B2" s="3" t="inlineStr">
        <is>
          <t>f1 / Hz (rect)</t>
        </is>
      </c>
      <c r="C2" s="3" t="inlineStr">
        <is>
          <t>df1 (rect)</t>
        </is>
      </c>
      <c r="D2" s="3" t="inlineStr">
        <is>
          <t>f2 / Hz (rect)</t>
        </is>
      </c>
      <c r="E2" s="3" t="inlineStr">
        <is>
          <t>df2 (rect)</t>
        </is>
      </c>
      <c r="F2" s="3" t="inlineStr">
        <is>
          <t>f2^2-f1^2 / Hz^2 (rect)</t>
        </is>
      </c>
      <c r="G2" s="3" t="inlineStr">
        <is>
          <t>d(f2^2-f1^2) (rect)</t>
        </is>
      </c>
      <c r="H2" s="3" t="inlineStr">
        <is>
          <t>f1 / Hz (hann)</t>
        </is>
      </c>
      <c r="I2" s="3" t="inlineStr">
        <is>
          <t>df1 (hann)</t>
        </is>
      </c>
      <c r="J2" s="3" t="inlineStr">
        <is>
          <t>f2 / Hz (hann)</t>
        </is>
      </c>
      <c r="K2" s="3" t="inlineStr">
        <is>
          <t>df2 (hann)</t>
        </is>
      </c>
      <c r="L2" s="3" t="inlineStr">
        <is>
          <t>f2^2-f1^2 / Hz^2 (hann)</t>
        </is>
      </c>
      <c r="M2" s="3" t="inlineStr">
        <is>
          <t>d(f2^2-f1^2) (hann)</t>
        </is>
      </c>
      <c r="N2" s="3" t="inlineStr">
        <is>
          <t>f1 / Hz (hamming)</t>
        </is>
      </c>
      <c r="O2" s="3" t="inlineStr">
        <is>
          <t>df1 (hamming)</t>
        </is>
      </c>
      <c r="P2" s="3" t="inlineStr">
        <is>
          <t>f2 / Hz (hamming)</t>
        </is>
      </c>
      <c r="Q2" s="3" t="inlineStr">
        <is>
          <t>df2 (hamming)</t>
        </is>
      </c>
      <c r="R2" s="3" t="inlineStr">
        <is>
          <t>f2^2-f1^2 / Hz^2 (hamming)</t>
        </is>
      </c>
      <c r="S2" s="3" t="inlineStr">
        <is>
          <t>d(f2^2-f1^2) (hamming)</t>
        </is>
      </c>
      <c r="T2" s="3" t="inlineStr">
        <is>
          <t>f1 / Hz (blackman)</t>
        </is>
      </c>
      <c r="U2" s="3" t="inlineStr">
        <is>
          <t>df1 (blackman)</t>
        </is>
      </c>
      <c r="V2" s="3" t="inlineStr">
        <is>
          <t>f2 / Hz (blackman)</t>
        </is>
      </c>
      <c r="W2" s="3" t="inlineStr">
        <is>
          <t>df2 (blackman)</t>
        </is>
      </c>
      <c r="X2" s="3" t="inlineStr">
        <is>
          <t>f2^2-f1^2 / Hz^2 (blackman)</t>
        </is>
      </c>
      <c r="Y2" s="3" t="inlineStr">
        <is>
          <t>d(f2^2-f1^2) (blackman)</t>
        </is>
      </c>
    </row>
    <row r="3">
      <c r="A3" t="n">
        <v>24.5</v>
      </c>
      <c r="B3" t="n">
        <v>6.419329421557793</v>
      </c>
      <c r="C3" t="n">
        <v>0.0514319447963549</v>
      </c>
      <c r="D3" t="n">
        <v>8.04010476307225</v>
      </c>
      <c r="E3" t="n">
        <v>0.3502364149984265</v>
      </c>
      <c r="F3" t="n">
        <v>23.43549437869958</v>
      </c>
      <c r="G3" t="n">
        <v>6.29219212973875</v>
      </c>
      <c r="H3" t="n">
        <v>6.419398080208737</v>
      </c>
      <c r="I3" t="n">
        <v>0.0514319447963549</v>
      </c>
      <c r="J3" t="n">
        <v>8.040183142026889</v>
      </c>
      <c r="K3" t="n">
        <v>0.3502038646856107</v>
      </c>
      <c r="L3" t="n">
        <v>23.43587324514576</v>
      </c>
      <c r="M3" t="n">
        <v>6.29173067361007</v>
      </c>
      <c r="N3" t="n">
        <v>6.419374782854518</v>
      </c>
      <c r="O3" t="n">
        <v>0.0514319447963549</v>
      </c>
      <c r="P3" t="n">
        <v>8.040158846456507</v>
      </c>
      <c r="Q3" t="n">
        <v>0.3502163835900194</v>
      </c>
      <c r="R3" t="n">
        <v>23.43578167350432</v>
      </c>
      <c r="S3" t="n">
        <v>6.291912568308373</v>
      </c>
      <c r="T3" t="n">
        <v>6.419403288031799</v>
      </c>
      <c r="U3" t="n">
        <v>0.0514319447963549</v>
      </c>
      <c r="V3" t="n">
        <v>8.040182604293701</v>
      </c>
      <c r="W3" t="n">
        <v>0.3501951578535381</v>
      </c>
      <c r="X3" t="n">
        <v>23.43579773599356</v>
      </c>
      <c r="Y3" t="n">
        <v>6.291590823634988</v>
      </c>
    </row>
    <row r="4">
      <c r="A4" t="n">
        <v>26.5</v>
      </c>
      <c r="B4" t="n">
        <v>6.420582225963837</v>
      </c>
      <c r="C4" t="n">
        <v>0.05292570486896046</v>
      </c>
      <c r="D4" t="n">
        <v>7.469702447162724</v>
      </c>
      <c r="E4" t="n">
        <v>0.05292570486896046</v>
      </c>
      <c r="F4" t="n">
        <v>14.57257852878606</v>
      </c>
      <c r="G4" t="n">
        <v>1.470306214311483</v>
      </c>
      <c r="H4" t="n">
        <v>6.420663689737571</v>
      </c>
      <c r="I4" t="n">
        <v>0.05292570486896046</v>
      </c>
      <c r="J4" t="n">
        <v>7.469868061588679</v>
      </c>
      <c r="K4" t="n">
        <v>0.05292570486896046</v>
      </c>
      <c r="L4" t="n">
        <v>14.57400664082812</v>
      </c>
      <c r="M4" t="n">
        <v>1.470332367887235</v>
      </c>
      <c r="N4" t="n">
        <v>6.420637131367346</v>
      </c>
      <c r="O4" t="n">
        <v>0.05292570486896046</v>
      </c>
      <c r="P4" t="n">
        <v>7.469816110272608</v>
      </c>
      <c r="Q4" t="n">
        <v>0.05292570486896046</v>
      </c>
      <c r="R4" t="n">
        <v>14.57357154859509</v>
      </c>
      <c r="S4" t="n">
        <v>1.470324057526263</v>
      </c>
      <c r="T4" t="n">
        <v>6.420659658484342</v>
      </c>
      <c r="U4" t="n">
        <v>0.05292570486896046</v>
      </c>
      <c r="V4" t="n">
        <v>7.469867286076912</v>
      </c>
      <c r="W4" t="n">
        <v>0.05292570486896046</v>
      </c>
      <c r="X4" t="n">
        <v>14.57404682151378</v>
      </c>
      <c r="Y4" t="n">
        <v>1.470331859084384</v>
      </c>
    </row>
    <row r="5">
      <c r="A5" t="n">
        <v>28.5</v>
      </c>
      <c r="B5" t="n">
        <v>6.418661619989711</v>
      </c>
      <c r="C5" t="n">
        <v>0.05294949931762433</v>
      </c>
      <c r="D5" t="n">
        <v>7.15075851183524</v>
      </c>
      <c r="E5" t="n">
        <v>0.05294949931762433</v>
      </c>
      <c r="F5" t="n">
        <v>9.934130302655191</v>
      </c>
      <c r="G5" t="n">
        <v>1.436988004021246</v>
      </c>
      <c r="H5" t="n">
        <v>6.418810370153414</v>
      </c>
      <c r="I5" t="n">
        <v>0.05294949931762433</v>
      </c>
      <c r="J5" t="n">
        <v>7.150852430911504</v>
      </c>
      <c r="K5" t="n">
        <v>0.05294949931762433</v>
      </c>
      <c r="L5" t="n">
        <v>9.933563920683952</v>
      </c>
      <c r="M5" t="n">
        <v>1.437013702450758</v>
      </c>
      <c r="N5" t="n">
        <v>6.418763313725734</v>
      </c>
      <c r="O5" t="n">
        <v>0.05294949931762433</v>
      </c>
      <c r="P5" t="n">
        <v>7.150821958729047</v>
      </c>
      <c r="Q5" t="n">
        <v>0.05294949931762433</v>
      </c>
      <c r="R5" t="n">
        <v>9.933732207810166</v>
      </c>
      <c r="S5" t="n">
        <v>1.437005492248579</v>
      </c>
      <c r="T5" t="n">
        <v>6.418811372744782</v>
      </c>
      <c r="U5" t="n">
        <v>0.05294949931762433</v>
      </c>
      <c r="V5" t="n">
        <v>7.15084680640135</v>
      </c>
      <c r="W5" t="n">
        <v>0.05294949931762433</v>
      </c>
      <c r="X5" t="n">
        <v>9.933470609742621</v>
      </c>
      <c r="Y5" t="n">
        <v>1.437013212994187</v>
      </c>
    </row>
    <row r="6">
      <c r="A6" t="n">
        <v>31</v>
      </c>
      <c r="B6" t="n">
        <v>6.418515143392753</v>
      </c>
      <c r="C6" t="n">
        <v>0.04357558313137169</v>
      </c>
      <c r="D6" t="n">
        <v>6.919233263292023</v>
      </c>
      <c r="E6" t="n">
        <v>0.04357558313137169</v>
      </c>
      <c r="F6" t="n">
        <v>6.67845230588469</v>
      </c>
      <c r="G6" t="n">
        <v>1.162400328961626</v>
      </c>
      <c r="H6" t="n">
        <v>6.418667060325335</v>
      </c>
      <c r="I6" t="n">
        <v>0.04357558313137169</v>
      </c>
      <c r="J6" t="n">
        <v>6.919334035693704</v>
      </c>
      <c r="K6" t="n">
        <v>0.04357558313137169</v>
      </c>
      <c r="L6" t="n">
        <v>6.677896666203843</v>
      </c>
      <c r="M6" t="n">
        <v>1.162422351131809</v>
      </c>
      <c r="N6" t="n">
        <v>6.418619076466969</v>
      </c>
      <c r="O6" t="n">
        <v>0.04357558313137169</v>
      </c>
      <c r="P6" t="n">
        <v>6.919302719663582</v>
      </c>
      <c r="Q6" t="n">
        <v>0.04357558313137169</v>
      </c>
      <c r="R6" t="n">
        <v>6.678079277558155</v>
      </c>
      <c r="S6" t="n">
        <v>1.162415440054043</v>
      </c>
      <c r="T6" t="n">
        <v>6.4186696335049</v>
      </c>
      <c r="U6" t="n">
        <v>0.04357558313137169</v>
      </c>
      <c r="V6" t="n">
        <v>6.919337779225282</v>
      </c>
      <c r="W6" t="n">
        <v>0.04357558313137169</v>
      </c>
      <c r="X6" t="n">
        <v>6.677915438936338</v>
      </c>
      <c r="Y6" t="n">
        <v>1.162422901640552</v>
      </c>
    </row>
    <row r="7">
      <c r="A7" t="n">
        <v>33.5</v>
      </c>
      <c r="B7" t="n">
        <v>6.420433149643836</v>
      </c>
      <c r="C7" t="n">
        <v>0.03455512369645693</v>
      </c>
      <c r="D7" t="n">
        <v>6.763256924148159</v>
      </c>
      <c r="E7" t="n">
        <v>0.03793698840587734</v>
      </c>
      <c r="F7" t="n">
        <v>4.51968239299255</v>
      </c>
      <c r="G7" t="n">
        <v>0.9568729223763073</v>
      </c>
      <c r="H7" t="n">
        <v>6.420530368568383</v>
      </c>
      <c r="I7" t="n">
        <v>0.03455512369645693</v>
      </c>
      <c r="J7" t="n">
        <v>6.763274640187828</v>
      </c>
      <c r="K7" t="n">
        <v>0.03792797582357021</v>
      </c>
      <c r="L7" t="n">
        <v>4.518673644898932</v>
      </c>
      <c r="M7" t="n">
        <v>0.9567590762478964</v>
      </c>
      <c r="N7" t="n">
        <v>6.420500489788056</v>
      </c>
      <c r="O7" t="n">
        <v>0.03455512369645693</v>
      </c>
      <c r="P7" t="n">
        <v>6.763268369700567</v>
      </c>
      <c r="Q7" t="n">
        <v>0.03793066324825434</v>
      </c>
      <c r="R7" t="n">
        <v>4.518972501223502</v>
      </c>
      <c r="S7" t="n">
        <v>0.9567928872129419</v>
      </c>
      <c r="T7" t="n">
        <v>6.420532217033847</v>
      </c>
      <c r="U7" t="n">
        <v>0.03455512369645693</v>
      </c>
      <c r="V7" t="n">
        <v>6.763272152340955</v>
      </c>
      <c r="W7" t="n">
        <v>0.03792935301311395</v>
      </c>
      <c r="X7" t="n">
        <v>4.51861625666109</v>
      </c>
      <c r="Y7" t="n">
        <v>0.956777643893189</v>
      </c>
    </row>
    <row r="8">
      <c r="A8" t="n">
        <v>36</v>
      </c>
      <c r="B8" t="n">
        <v>6.41998542461931</v>
      </c>
      <c r="C8" t="n">
        <v>0.02573525428679315</v>
      </c>
      <c r="D8" t="n">
        <v>6.661122152854</v>
      </c>
      <c r="E8" t="n">
        <v>0.04137854989060052</v>
      </c>
      <c r="F8" t="n">
        <v>3.154335482917929</v>
      </c>
      <c r="G8" t="n">
        <v>0.8816950654986746</v>
      </c>
      <c r="H8" t="n">
        <v>6.419983675250217</v>
      </c>
      <c r="I8" t="n">
        <v>0.02573525428679315</v>
      </c>
      <c r="J8" t="n">
        <v>6.661100170952119</v>
      </c>
      <c r="K8" t="n">
        <v>0.04136846866555199</v>
      </c>
      <c r="L8" t="n">
        <v>3.154065096979068</v>
      </c>
      <c r="M8" t="n">
        <v>0.8815588521995219</v>
      </c>
      <c r="N8" t="n">
        <v>6.419984312679787</v>
      </c>
      <c r="O8" t="n">
        <v>0.02573525428679315</v>
      </c>
      <c r="P8" t="n">
        <v>6.661106803445944</v>
      </c>
      <c r="Q8" t="n">
        <v>0.04137164335210786</v>
      </c>
      <c r="R8" t="n">
        <v>3.154145271859278</v>
      </c>
      <c r="S8" t="n">
        <v>0.881601727613004</v>
      </c>
      <c r="T8" t="n">
        <v>6.419981281043222</v>
      </c>
      <c r="U8" t="n">
        <v>0.02573525428679315</v>
      </c>
      <c r="V8" t="n">
        <v>6.661098217247025</v>
      </c>
      <c r="W8" t="n">
        <v>0.04136670205790738</v>
      </c>
      <c r="X8" t="n">
        <v>3.154069810866112</v>
      </c>
      <c r="Y8" t="n">
        <v>0.8815350322308301</v>
      </c>
    </row>
    <row r="9">
      <c r="A9" t="n">
        <v>39</v>
      </c>
      <c r="B9" t="n">
        <v>6.421645156559026</v>
      </c>
      <c r="C9" t="n">
        <v>0.01708649600653851</v>
      </c>
      <c r="D9" t="n">
        <v>6.607491225224891</v>
      </c>
      <c r="E9" t="n">
        <v>0.04315784008143631</v>
      </c>
      <c r="F9" t="n">
        <v>2.421413774665929</v>
      </c>
      <c r="G9" t="n">
        <v>0.7897769279214053</v>
      </c>
      <c r="H9" t="n">
        <v>6.421637289486057</v>
      </c>
      <c r="I9" t="n">
        <v>0.01708649600653851</v>
      </c>
      <c r="J9" t="n">
        <v>6.607477331472259</v>
      </c>
      <c r="K9" t="n">
        <v>0.0431574346630117</v>
      </c>
      <c r="L9" t="n">
        <v>2.421331208201927</v>
      </c>
      <c r="M9" t="n">
        <v>0.7897701022451743</v>
      </c>
      <c r="N9" t="n">
        <v>6.421640054097812</v>
      </c>
      <c r="O9" t="n">
        <v>0.01708649600653851</v>
      </c>
      <c r="P9" t="n">
        <v>6.607482249347546</v>
      </c>
      <c r="Q9" t="n">
        <v>0.04315752024026009</v>
      </c>
      <c r="R9" t="n">
        <v>2.42136069104955</v>
      </c>
      <c r="S9" t="n">
        <v>0.789771752106292</v>
      </c>
      <c r="T9" t="n">
        <v>6.42163924487254</v>
      </c>
      <c r="U9" t="n">
        <v>0.01708649600653851</v>
      </c>
      <c r="V9" t="n">
        <v>6.607478400428441</v>
      </c>
      <c r="W9" t="n">
        <v>0.04315729611154984</v>
      </c>
      <c r="X9" t="n">
        <v>2.421320220841224</v>
      </c>
      <c r="Y9" t="n">
        <v>0.789768430381811</v>
      </c>
    </row>
    <row r="10">
      <c r="A10" t="n">
        <v>42</v>
      </c>
      <c r="B10" t="n">
        <v>6.419275049768562</v>
      </c>
      <c r="C10" t="n">
        <v>0.01132945553147083</v>
      </c>
      <c r="D10" t="n">
        <v>6.527742249866539</v>
      </c>
      <c r="E10" t="n">
        <v>0.02948928476978319</v>
      </c>
      <c r="F10" t="n">
        <v>1.404326716111484</v>
      </c>
      <c r="G10" t="n">
        <v>0.5304506826613853</v>
      </c>
      <c r="H10" t="n">
        <v>6.419265295206029</v>
      </c>
      <c r="I10" t="n">
        <v>0.01132945553147083</v>
      </c>
      <c r="J10" t="n">
        <v>6.52773633796722</v>
      </c>
      <c r="K10" t="n">
        <v>0.02948466207847567</v>
      </c>
      <c r="L10" t="n">
        <v>1.404374767781142</v>
      </c>
      <c r="M10" t="n">
        <v>0.5303897615382007</v>
      </c>
      <c r="N10" t="n">
        <v>6.419268516755471</v>
      </c>
      <c r="O10" t="n">
        <v>0.01132945553147083</v>
      </c>
      <c r="P10" t="n">
        <v>6.527738634723929</v>
      </c>
      <c r="Q10" t="n">
        <v>0.02948601499865955</v>
      </c>
      <c r="R10" t="n">
        <v>1.404363393059434</v>
      </c>
      <c r="S10" t="n">
        <v>0.530407632991902</v>
      </c>
      <c r="T10" t="n">
        <v>6.419264390647392</v>
      </c>
      <c r="U10" t="n">
        <v>0.01132945553147083</v>
      </c>
      <c r="V10" t="n">
        <v>6.5277389457276</v>
      </c>
      <c r="W10" t="n">
        <v>0.02948354020254929</v>
      </c>
      <c r="X10" t="n">
        <v>1.404420426535253</v>
      </c>
      <c r="Y10" t="n">
        <v>0.5303752481934004</v>
      </c>
    </row>
    <row r="12">
      <c r="A12" s="3" t="inlineStr">
        <is>
          <t>window</t>
        </is>
      </c>
      <c r="B12" s="3" t="inlineStr">
        <is>
          <t>gradient -n</t>
        </is>
      </c>
      <c r="C12" s="3" t="inlineStr">
        <is>
          <t>± (max/min)</t>
        </is>
      </c>
      <c r="D12" s="3" t="inlineStr">
        <is>
          <t>s.e. (LINEST)</t>
        </is>
      </c>
      <c r="E12" s="3" t="inlineStr">
        <is>
          <t>R^2</t>
        </is>
      </c>
      <c r="F12" s="3" t="inlineStr">
        <is>
          <t>C / m^5 s^-2</t>
        </is>
      </c>
      <c r="G12" s="3" t="inlineStr">
        <is>
          <t>mean f1 / Hz</t>
        </is>
      </c>
      <c r="H12" s="3" t="inlineStr">
        <is>
          <t>half-range f1 / Hz</t>
        </is>
      </c>
    </row>
    <row r="13">
      <c r="A13" t="inlineStr">
        <is>
          <t>rect</t>
        </is>
      </c>
      <c r="B13" t="n">
        <v>-5.013093707047047</v>
      </c>
      <c r="C13" t="n">
        <v>0.8890535041254175</v>
      </c>
      <c r="D13" t="n">
        <v>0.1258519624226869</v>
      </c>
      <c r="E13" t="n">
        <v>0.996232784896691</v>
      </c>
      <c r="F13" s="7" t="n">
        <v>1.859812872781233e-07</v>
      </c>
      <c r="G13" t="n">
        <v>6.419803398936853</v>
      </c>
      <c r="H13" t="n">
        <v>0.001565006583136519</v>
      </c>
    </row>
    <row r="14">
      <c r="A14" t="inlineStr">
        <is>
          <t>hann</t>
        </is>
      </c>
      <c r="B14" t="n">
        <v>-5.013213804835412</v>
      </c>
      <c r="C14" t="n">
        <v>0.8889059372239325</v>
      </c>
      <c r="D14" t="n">
        <v>0.125865299057972</v>
      </c>
      <c r="E14" t="n">
        <v>0.9962321692857169</v>
      </c>
      <c r="F14" s="7" t="n">
        <v>1.858967247579728e-07</v>
      </c>
      <c r="G14" t="n">
        <v>6.419869478616969</v>
      </c>
      <c r="H14" t="n">
        <v>0.001485114580360936</v>
      </c>
    </row>
    <row r="15">
      <c r="A15" t="inlineStr">
        <is>
          <t>hamming</t>
        </is>
      </c>
      <c r="B15" t="n">
        <v>-5.013175150335161</v>
      </c>
      <c r="C15" t="n">
        <v>0.8889512649792914</v>
      </c>
      <c r="D15" t="n">
        <v>0.1258621304554174</v>
      </c>
      <c r="E15" t="n">
        <v>0.9962323003927547</v>
      </c>
      <c r="F15" s="7" t="n">
        <v>1.859238999314602e-07</v>
      </c>
      <c r="G15" t="n">
        <v>6.419848459716962</v>
      </c>
      <c r="H15" t="n">
        <v>0.001510488815421596</v>
      </c>
    </row>
    <row r="16">
      <c r="A16" t="inlineStr">
        <is>
          <t>blackman</t>
        </is>
      </c>
      <c r="B16" t="n">
        <v>-5.013178480052607</v>
      </c>
      <c r="C16" t="n">
        <v>0.8888583213759271</v>
      </c>
      <c r="D16" t="n">
        <v>0.125854729916396</v>
      </c>
      <c r="E16" t="n">
        <v>0.9962327467683667</v>
      </c>
      <c r="F16" s="7" t="n">
        <v>1.859195302294223e-07</v>
      </c>
      <c r="G16" t="n">
        <v>6.419870135795353</v>
      </c>
      <c r="H16" t="n">
        <v>0.001484805683820145</v>
      </c>
    </row>
    <row r="20">
      <c r="A20" s="1" t="inlineStr">
        <is>
          <t>Conventional method: the two peaks of FFT(xA) alone</t>
        </is>
      </c>
    </row>
    <row r="21">
      <c r="A21" s="3" t="inlineStr">
        <is>
          <t>d / mm</t>
        </is>
      </c>
      <c r="B21" s="3" t="inlineStr">
        <is>
          <t>f1 / Hz (rect)</t>
        </is>
      </c>
      <c r="C21" s="3" t="inlineStr">
        <is>
          <t>df1 (rect)</t>
        </is>
      </c>
      <c r="D21" s="3" t="inlineStr">
        <is>
          <t>f2 / Hz (rect)</t>
        </is>
      </c>
      <c r="E21" s="3" t="inlineStr">
        <is>
          <t>df2 (rect)</t>
        </is>
      </c>
      <c r="F21" s="3" t="inlineStr">
        <is>
          <t>f2^2-f1^2 / Hz^2 (rect)</t>
        </is>
      </c>
      <c r="G21" s="3" t="inlineStr">
        <is>
          <t>d(f2^2-f1^2) (rect)</t>
        </is>
      </c>
      <c r="H21" s="3" t="inlineStr">
        <is>
          <t>f1 / Hz (hann)</t>
        </is>
      </c>
      <c r="I21" s="3" t="inlineStr">
        <is>
          <t>df1 (hann)</t>
        </is>
      </c>
      <c r="J21" s="3" t="inlineStr">
        <is>
          <t>f2 / Hz (hann)</t>
        </is>
      </c>
      <c r="K21" s="3" t="inlineStr">
        <is>
          <t>df2 (hann)</t>
        </is>
      </c>
      <c r="L21" s="3" t="inlineStr">
        <is>
          <t>f2^2-f1^2 / Hz^2 (hann)</t>
        </is>
      </c>
      <c r="M21" s="3" t="inlineStr">
        <is>
          <t>d(f2^2-f1^2) (hann)</t>
        </is>
      </c>
      <c r="N21" s="3" t="inlineStr">
        <is>
          <t>f1 / Hz (hamming)</t>
        </is>
      </c>
      <c r="O21" s="3" t="inlineStr">
        <is>
          <t>df1 (hamming)</t>
        </is>
      </c>
      <c r="P21" s="3" t="inlineStr">
        <is>
          <t>f2 / Hz (hamming)</t>
        </is>
      </c>
      <c r="Q21" s="3" t="inlineStr">
        <is>
          <t>df2 (hamming)</t>
        </is>
      </c>
      <c r="R21" s="3" t="inlineStr">
        <is>
          <t>f2^2-f1^2 / Hz^2 (hamming)</t>
        </is>
      </c>
      <c r="S21" s="3" t="inlineStr">
        <is>
          <t>d(f2^2-f1^2) (hamming)</t>
        </is>
      </c>
      <c r="T21" s="3" t="inlineStr">
        <is>
          <t>f1 / Hz (blackman)</t>
        </is>
      </c>
      <c r="U21" s="3" t="inlineStr">
        <is>
          <t>df1 (blackman)</t>
        </is>
      </c>
      <c r="V21" s="3" t="inlineStr">
        <is>
          <t>f2 / Hz (blackman)</t>
        </is>
      </c>
      <c r="W21" s="3" t="inlineStr">
        <is>
          <t>df2 (blackman)</t>
        </is>
      </c>
      <c r="X21" s="3" t="inlineStr">
        <is>
          <t>f2^2-f1^2 / Hz^2 (blackman)</t>
        </is>
      </c>
      <c r="Y21" s="3" t="inlineStr">
        <is>
          <t>d(f2^2-f1^2) (blackman)</t>
        </is>
      </c>
    </row>
    <row r="22">
      <c r="A22" t="n">
        <v>24.5</v>
      </c>
      <c r="B22" t="n">
        <v>6.418513443983306</v>
      </c>
      <c r="C22" t="n">
        <v>0.0514319447963549</v>
      </c>
      <c r="D22" t="n">
        <v>8.041696684474095</v>
      </c>
      <c r="E22" t="n">
        <v>0.3497198170162013</v>
      </c>
      <c r="F22" t="n">
        <v>23.47157073448721</v>
      </c>
      <c r="G22" t="n">
        <v>6.284914644239367</v>
      </c>
      <c r="H22" t="n">
        <v>6.419435714008996</v>
      </c>
      <c r="I22" t="n">
        <v>0.0514319447963549</v>
      </c>
      <c r="J22" t="n">
        <v>8.040156602623268</v>
      </c>
      <c r="K22" t="n">
        <v>0.3502565887557076</v>
      </c>
      <c r="L22" t="n">
        <v>23.43496330841235</v>
      </c>
      <c r="M22" t="n">
        <v>6.292563775926331</v>
      </c>
      <c r="N22" t="n">
        <v>6.419148266544729</v>
      </c>
      <c r="O22" t="n">
        <v>0.0514319447963549</v>
      </c>
      <c r="P22" t="n">
        <v>8.0406270052974</v>
      </c>
      <c r="Q22" t="n">
        <v>0.3500720211093769</v>
      </c>
      <c r="R22" t="n">
        <v>23.44621817043363</v>
      </c>
      <c r="S22" t="n">
        <v>6.289895652031285</v>
      </c>
      <c r="T22" t="n">
        <v>6.419438294807338</v>
      </c>
      <c r="U22" t="n">
        <v>0.0514319447963549</v>
      </c>
      <c r="V22" t="n">
        <v>8.040157912741083</v>
      </c>
      <c r="W22" t="n">
        <v>0.3502401221116425</v>
      </c>
      <c r="X22" t="n">
        <v>23.43495124097411</v>
      </c>
      <c r="Y22" t="n">
        <v>6.292300170314926</v>
      </c>
    </row>
    <row r="23">
      <c r="A23" t="n">
        <v>26.5</v>
      </c>
      <c r="B23" t="n">
        <v>6.418516651930581</v>
      </c>
      <c r="C23" t="n">
        <v>0.05292570486896046</v>
      </c>
      <c r="D23" t="n">
        <v>7.473065799904002</v>
      </c>
      <c r="E23" t="n">
        <v>0.05292570486896046</v>
      </c>
      <c r="F23" t="n">
        <v>14.64935643858468</v>
      </c>
      <c r="G23" t="n">
        <v>1.470443586017255</v>
      </c>
      <c r="H23" t="n">
        <v>6.42072037054254</v>
      </c>
      <c r="I23" t="n">
        <v>0.05292570486896046</v>
      </c>
      <c r="J23" t="n">
        <v>7.469796525958739</v>
      </c>
      <c r="K23" t="n">
        <v>0.05292570486896046</v>
      </c>
      <c r="L23" t="n">
        <v>14.57221006252531</v>
      </c>
      <c r="M23" t="n">
        <v>1.470330795483071</v>
      </c>
      <c r="N23" t="n">
        <v>6.420035122610306</v>
      </c>
      <c r="O23" t="n">
        <v>0.05292570486896046</v>
      </c>
      <c r="P23" t="n">
        <v>7.470812300787713</v>
      </c>
      <c r="Q23" t="n">
        <v>0.05292570486896046</v>
      </c>
      <c r="R23" t="n">
        <v>14.59618545805107</v>
      </c>
      <c r="S23" t="n">
        <v>1.470365782221047</v>
      </c>
      <c r="T23" t="n">
        <v>6.420693399061117</v>
      </c>
      <c r="U23" t="n">
        <v>0.05292570486896046</v>
      </c>
      <c r="V23" t="n">
        <v>7.469851575693792</v>
      </c>
      <c r="W23" t="n">
        <v>0.05292570486896046</v>
      </c>
      <c r="X23" t="n">
        <v>14.57337883814804</v>
      </c>
      <c r="Y23" t="n">
        <v>1.4703337676058</v>
      </c>
    </row>
    <row r="24">
      <c r="A24" t="n">
        <v>28.5</v>
      </c>
      <c r="B24" t="n">
        <v>6.415433758406612</v>
      </c>
      <c r="C24" t="n">
        <v>0.05294949931762433</v>
      </c>
      <c r="D24" t="n">
        <v>7.155531300749137</v>
      </c>
      <c r="E24" t="n">
        <v>0.05294949931762433</v>
      </c>
      <c r="F24" t="n">
        <v>10.04383788749745</v>
      </c>
      <c r="G24" t="n">
        <v>1.437151610278542</v>
      </c>
      <c r="H24" t="n">
        <v>6.418983951302108</v>
      </c>
      <c r="I24" t="n">
        <v>0.05294949931762433</v>
      </c>
      <c r="J24" t="n">
        <v>7.150570603629161</v>
      </c>
      <c r="K24" t="n">
        <v>0.05294949931762433</v>
      </c>
      <c r="L24" t="n">
        <v>9.927304990411479</v>
      </c>
      <c r="M24" t="n">
        <v>1.437002239293599</v>
      </c>
      <c r="N24" t="n">
        <v>6.417878076557841</v>
      </c>
      <c r="O24" t="n">
        <v>0.05294949931762433</v>
      </c>
      <c r="P24" t="n">
        <v>7.152112798278279</v>
      </c>
      <c r="Q24" t="n">
        <v>0.05294949931762433</v>
      </c>
      <c r="R24" t="n">
        <v>9.963558473734182</v>
      </c>
      <c r="S24" t="n">
        <v>1.437048445134607</v>
      </c>
      <c r="T24" t="n">
        <v>6.418895837042444</v>
      </c>
      <c r="U24" t="n">
        <v>0.05294949931762433</v>
      </c>
      <c r="V24" t="n">
        <v>7.150709660844823</v>
      </c>
      <c r="W24" t="n">
        <v>0.05294949931762433</v>
      </c>
      <c r="X24" t="n">
        <v>9.93042488689867</v>
      </c>
      <c r="Y24" t="n">
        <v>1.437007634101626</v>
      </c>
    </row>
    <row r="25">
      <c r="A25" t="n">
        <v>31</v>
      </c>
      <c r="B25" t="n">
        <v>6.415297566194416</v>
      </c>
      <c r="C25" t="n">
        <v>0.04357558313137169</v>
      </c>
      <c r="D25" t="n">
        <v>6.923255601876882</v>
      </c>
      <c r="E25" t="n">
        <v>0.04357558313137169</v>
      </c>
      <c r="F25" t="n">
        <v>6.775425266099624</v>
      </c>
      <c r="G25" t="n">
        <v>1.162470464855024</v>
      </c>
      <c r="H25" t="n">
        <v>6.418942127326595</v>
      </c>
      <c r="I25" t="n">
        <v>0.04357558313137169</v>
      </c>
      <c r="J25" t="n">
        <v>6.918983024529301</v>
      </c>
      <c r="K25" t="n">
        <v>0.04357558313137169</v>
      </c>
      <c r="L25" t="n">
        <v>6.669508059756566</v>
      </c>
      <c r="M25" t="n">
        <v>1.16241573250942</v>
      </c>
      <c r="N25" t="n">
        <v>6.41777985585046</v>
      </c>
      <c r="O25" t="n">
        <v>0.04357558313137169</v>
      </c>
      <c r="P25" t="n">
        <v>6.920355336784093</v>
      </c>
      <c r="Q25" t="n">
        <v>0.04357558313137169</v>
      </c>
      <c r="R25" t="n">
        <v>6.703419709196119</v>
      </c>
      <c r="S25" t="n">
        <v>1.162434037808243</v>
      </c>
      <c r="T25" t="n">
        <v>6.418803460414452</v>
      </c>
      <c r="U25" t="n">
        <v>0.04357558313137169</v>
      </c>
      <c r="V25" t="n">
        <v>6.919195466945474</v>
      </c>
      <c r="W25" t="n">
        <v>0.04357558313137169</v>
      </c>
      <c r="X25" t="n">
        <v>6.67422804637026</v>
      </c>
      <c r="Y25" t="n">
        <v>1.162422162130638</v>
      </c>
    </row>
    <row r="26">
      <c r="A26" t="n">
        <v>33.5</v>
      </c>
      <c r="B26" t="n">
        <v>6.417691164060621</v>
      </c>
      <c r="C26" t="n">
        <v>0.03455512369645693</v>
      </c>
      <c r="D26" t="n">
        <v>6.766471806155676</v>
      </c>
      <c r="E26" t="n">
        <v>0.03661496381438223</v>
      </c>
      <c r="F26" t="n">
        <v>4.598380826237886</v>
      </c>
      <c r="G26" t="n">
        <v>0.939036464706402</v>
      </c>
      <c r="H26" t="n">
        <v>6.42087980323212</v>
      </c>
      <c r="I26" t="n">
        <v>0.03455512369645693</v>
      </c>
      <c r="J26" t="n">
        <v>6.762837451397712</v>
      </c>
      <c r="K26" t="n">
        <v>0.03819309781958902</v>
      </c>
      <c r="L26" t="n">
        <v>4.508272946473355</v>
      </c>
      <c r="M26" t="n">
        <v>0.9603360163199617</v>
      </c>
      <c r="N26" t="n">
        <v>6.419822211853917</v>
      </c>
      <c r="O26" t="n">
        <v>0.03455512369645693</v>
      </c>
      <c r="P26" t="n">
        <v>6.764055272273472</v>
      </c>
      <c r="Q26" t="n">
        <v>0.03765298254183591</v>
      </c>
      <c r="R26" t="n">
        <v>4.538326494557644</v>
      </c>
      <c r="S26" t="n">
        <v>0.9530492114375999</v>
      </c>
      <c r="T26" t="n">
        <v>6.420680105863321</v>
      </c>
      <c r="U26" t="n">
        <v>0.03455512369645693</v>
      </c>
      <c r="V26" t="n">
        <v>6.763087648589649</v>
      </c>
      <c r="W26" t="n">
        <v>0.03799856508777166</v>
      </c>
      <c r="X26" t="n">
        <v>4.514221520676848</v>
      </c>
      <c r="Y26" t="n">
        <v>0.9577100429654511</v>
      </c>
    </row>
    <row r="27">
      <c r="A27" t="n">
        <v>36</v>
      </c>
      <c r="B27" t="n">
        <v>6.417696119843633</v>
      </c>
      <c r="C27" t="n">
        <v>0.02573525428679315</v>
      </c>
      <c r="D27" t="n">
        <v>6.663794577290292</v>
      </c>
      <c r="E27" t="n">
        <v>0.03987481325343456</v>
      </c>
      <c r="F27" t="n">
        <v>3.219334681667483</v>
      </c>
      <c r="G27" t="n">
        <v>0.8617572118164838</v>
      </c>
      <c r="H27" t="n">
        <v>6.420344958083971</v>
      </c>
      <c r="I27" t="n">
        <v>0.02573525428679315</v>
      </c>
      <c r="J27" t="n">
        <v>6.660685550362038</v>
      </c>
      <c r="K27" t="n">
        <v>0.04171919671283097</v>
      </c>
      <c r="L27" t="n">
        <v>3.143902620007367</v>
      </c>
      <c r="M27" t="n">
        <v>0.886215321646172</v>
      </c>
      <c r="N27" t="n">
        <v>6.41948505084059</v>
      </c>
      <c r="O27" t="n">
        <v>0.02573525428679315</v>
      </c>
      <c r="P27" t="n">
        <v>6.661698206720809</v>
      </c>
      <c r="Q27" t="n">
        <v>0.04118531008372228</v>
      </c>
      <c r="R27" t="n">
        <v>3.16843467946142</v>
      </c>
      <c r="S27" t="n">
        <v>0.8791423730032459</v>
      </c>
      <c r="T27" t="n">
        <v>6.420108124571598</v>
      </c>
      <c r="U27" t="n">
        <v>0.02573525428679315</v>
      </c>
      <c r="V27" t="n">
        <v>6.66095799657483</v>
      </c>
      <c r="W27" t="n">
        <v>0.04144794068143431</v>
      </c>
      <c r="X27" t="n">
        <v>3.150573100943923</v>
      </c>
      <c r="Y27" t="n">
        <v>0.8826122141162316</v>
      </c>
    </row>
    <row r="28">
      <c r="A28" t="n">
        <v>39</v>
      </c>
      <c r="B28" t="n">
        <v>6.420322554620052</v>
      </c>
      <c r="C28" t="n">
        <v>0.01708649600653851</v>
      </c>
      <c r="D28" t="n">
        <v>6.608976201640322</v>
      </c>
      <c r="E28" t="n">
        <v>0.04232662286108191</v>
      </c>
      <c r="F28" t="n">
        <v>2.458024728485185</v>
      </c>
      <c r="G28" t="n">
        <v>0.7788729177498003</v>
      </c>
      <c r="H28" t="n">
        <v>6.421818965368582</v>
      </c>
      <c r="I28" t="n">
        <v>0.01708649600653851</v>
      </c>
      <c r="J28" t="n">
        <v>6.607283933921215</v>
      </c>
      <c r="K28" t="n">
        <v>0.04333887893906851</v>
      </c>
      <c r="L28" t="n">
        <v>2.416442159485804</v>
      </c>
      <c r="M28" t="n">
        <v>0.7921573252694949</v>
      </c>
      <c r="N28" t="n">
        <v>6.421303403934486</v>
      </c>
      <c r="O28" t="n">
        <v>0.01708649600653851</v>
      </c>
      <c r="P28" t="n">
        <v>6.607870190364665</v>
      </c>
      <c r="Q28" t="n">
        <v>0.04299652232171702</v>
      </c>
      <c r="R28" t="n">
        <v>2.430811047329328</v>
      </c>
      <c r="S28" t="n">
        <v>0.787666026214243</v>
      </c>
      <c r="T28" t="n">
        <v>6.421716020949033</v>
      </c>
      <c r="U28" t="n">
        <v>0.01708649600653851</v>
      </c>
      <c r="V28" t="n">
        <v>6.607402078801845</v>
      </c>
      <c r="W28" t="n">
        <v>0.04320477933916145</v>
      </c>
      <c r="X28" t="n">
        <v>2.419325577241459</v>
      </c>
      <c r="Y28" t="n">
        <v>0.7903919479336408</v>
      </c>
    </row>
    <row r="29">
      <c r="A29" t="n">
        <v>42</v>
      </c>
      <c r="B29" t="n">
        <v>6.418136052780332</v>
      </c>
      <c r="C29" t="n">
        <v>0.01132945553147083</v>
      </c>
      <c r="D29" t="n">
        <v>6.528981251262378</v>
      </c>
      <c r="E29" t="n">
        <v>0.02923835944248632</v>
      </c>
      <c r="F29" t="n">
        <v>1.435125787336951</v>
      </c>
      <c r="G29" t="n">
        <v>0.5272213752451359</v>
      </c>
      <c r="H29" t="n">
        <v>6.419459294071163</v>
      </c>
      <c r="I29" t="n">
        <v>0.01132945553147083</v>
      </c>
      <c r="J29" t="n">
        <v>6.527530488172744</v>
      </c>
      <c r="K29" t="n">
        <v>0.02963267809733194</v>
      </c>
      <c r="L29" t="n">
        <v>1.399196645788059</v>
      </c>
      <c r="M29" t="n">
        <v>0.5323143766696186</v>
      </c>
      <c r="N29" t="n">
        <v>6.41898278095064</v>
      </c>
      <c r="O29" t="n">
        <v>0.01132945553147083</v>
      </c>
      <c r="P29" t="n">
        <v>6.52805424460615</v>
      </c>
      <c r="Q29" t="n">
        <v>0.02949273329285207</v>
      </c>
      <c r="R29" t="n">
        <v>1.412152278379573</v>
      </c>
      <c r="S29" t="n">
        <v>0.5305074854629946</v>
      </c>
      <c r="T29" t="n">
        <v>6.419338489185523</v>
      </c>
      <c r="U29" t="n">
        <v>0.01132945553147083</v>
      </c>
      <c r="V29" t="n">
        <v>6.527660870453007</v>
      </c>
      <c r="W29" t="n">
        <v>0.02952707216644646</v>
      </c>
      <c r="X29" t="n">
        <v>1.402449800904648</v>
      </c>
      <c r="Y29" t="n">
        <v>0.5309406471092822</v>
      </c>
    </row>
    <row r="31">
      <c r="A31" s="3" t="inlineStr">
        <is>
          <t>window</t>
        </is>
      </c>
      <c r="B31" s="3" t="inlineStr">
        <is>
          <t>gradient -n</t>
        </is>
      </c>
      <c r="C31" s="3" t="inlineStr">
        <is>
          <t>± (max/min)</t>
        </is>
      </c>
      <c r="D31" s="3" t="inlineStr">
        <is>
          <t>s.e. (LINEST)</t>
        </is>
      </c>
      <c r="E31" s="3" t="inlineStr">
        <is>
          <t>R^2</t>
        </is>
      </c>
      <c r="F31" s="3" t="inlineStr">
        <is>
          <t>C / m^5 s^-2</t>
        </is>
      </c>
      <c r="G31" s="3" t="inlineStr">
        <is>
          <t>mean f1 / Hz</t>
        </is>
      </c>
      <c r="H31" s="3" t="inlineStr">
        <is>
          <t>half-range f1 / Hz</t>
        </is>
      </c>
    </row>
    <row r="32">
      <c r="A32" t="inlineStr">
        <is>
          <t>rect</t>
        </is>
      </c>
      <c r="B32" t="n">
        <v>-4.979014377209429</v>
      </c>
      <c r="C32" t="n">
        <v>0.8706740046725168</v>
      </c>
      <c r="D32" t="n">
        <v>0.1212899812382159</v>
      </c>
      <c r="E32" t="n">
        <v>0.9964521048533259</v>
      </c>
      <c r="F32" s="7" t="n">
        <v>2.119050955329539e-07</v>
      </c>
      <c r="G32" t="n">
        <v>6.417700913977444</v>
      </c>
      <c r="H32" t="n">
        <v>0.002512494212817629</v>
      </c>
    </row>
    <row r="33">
      <c r="A33" t="inlineStr">
        <is>
          <t>hann</t>
        </is>
      </c>
      <c r="B33" t="n">
        <v>-5.019980666921741</v>
      </c>
      <c r="C33" t="n">
        <v>0.8937471824290544</v>
      </c>
      <c r="D33" t="n">
        <v>0.1264849856827194</v>
      </c>
      <c r="E33" t="n">
        <v>0.9962053303461191</v>
      </c>
      <c r="F33" s="7" t="n">
        <v>1.813199352914482e-07</v>
      </c>
      <c r="G33" t="n">
        <v>6.420073147992009</v>
      </c>
      <c r="H33" t="n">
        <v>0.001438419020993287</v>
      </c>
    </row>
    <row r="34">
      <c r="A34" t="inlineStr">
        <is>
          <t>hamming</t>
        </is>
      </c>
      <c r="B34" t="n">
        <v>-5.005094117801468</v>
      </c>
      <c r="C34" t="n">
        <v>0.8853890899781827</v>
      </c>
      <c r="D34" t="n">
        <v>0.1247400555466911</v>
      </c>
      <c r="E34" t="n">
        <v>0.9962870158960069</v>
      </c>
      <c r="F34" s="7" t="n">
        <v>1.918084545046123e-07</v>
      </c>
      <c r="G34" t="n">
        <v>6.419304346142871</v>
      </c>
      <c r="H34" t="n">
        <v>0.001761774042012831</v>
      </c>
    </row>
    <row r="35">
      <c r="A35" t="inlineStr">
        <is>
          <t>blackman</t>
        </is>
      </c>
      <c r="B35" t="n">
        <v>-5.015691818033465</v>
      </c>
      <c r="C35" t="n">
        <v>0.8905187469394029</v>
      </c>
      <c r="D35" t="n">
        <v>0.1260683703534132</v>
      </c>
      <c r="E35" t="n">
        <v>0.9962237673861616</v>
      </c>
      <c r="F35" s="7" t="n">
        <v>1.841988740227502e-07</v>
      </c>
      <c r="G35" t="n">
        <v>6.419959216486853</v>
      </c>
      <c r="H35" t="n">
        <v>0.001456280267290389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8" customWidth="1" min="7" max="7"/>
  </cols>
  <sheetData>
    <row r="1">
      <c r="A1" s="3" t="inlineStr">
        <is>
          <t>file</t>
        </is>
      </c>
      <c r="B1" s="3" t="inlineStr">
        <is>
          <t>T / s</t>
        </is>
      </c>
      <c r="C1" s="3" t="inlineStr">
        <is>
          <t>fs / Hz</t>
        </is>
      </c>
      <c r="D1" s="3" t="inlineStr">
        <is>
          <t>fA / Hz</t>
        </is>
      </c>
      <c r="E1" s="3" t="inlineStr">
        <is>
          <t>fB / Hz</t>
        </is>
      </c>
      <c r="F1" s="3" t="inlineStr">
        <is>
          <t>half-bin / Hz</t>
        </is>
      </c>
      <c r="G1" s="3" t="inlineStr">
        <is>
          <t>tau / s</t>
        </is>
      </c>
    </row>
    <row r="2">
      <c r="A2" t="inlineStr">
        <is>
          <t>Infinity_1.txt</t>
        </is>
      </c>
      <c r="B2" t="n">
        <v>44.6919977773663</v>
      </c>
      <c r="C2" t="n">
        <v>119.9991109530583</v>
      </c>
      <c r="D2" t="n">
        <v>6.41998930261873</v>
      </c>
      <c r="F2" t="n">
        <v>0.0111876851531846</v>
      </c>
      <c r="G2" t="n">
        <v>25.01361924123383</v>
      </c>
    </row>
    <row r="3">
      <c r="A3" t="inlineStr">
        <is>
          <t>Infinity_2.txt</t>
        </is>
      </c>
      <c r="B3" t="n">
        <v>44.6919977773663</v>
      </c>
      <c r="C3" t="n">
        <v>119.9991109530583</v>
      </c>
      <c r="D3" t="n">
        <v>6.419999622308772</v>
      </c>
      <c r="F3" t="n">
        <v>0.0111876851531846</v>
      </c>
      <c r="G3" t="n">
        <v>24.98953740167238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2026-09-12T07:44:11Z</dcterms:created>
  <dcterms:modified xmlns:dcterms="http://purl.org/dc/terms/" xmlns:xsi="http://www.w3.org/2001/XMLSchema-instance" xsi:type="dcterms:W3CDTF">2026-09-12T07:44:11Z</dcterms:modified>
</cp:coreProperties>
</file>