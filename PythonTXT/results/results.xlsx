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Trials" sheetId="2" state="visible" r:id="rId2"/>
    <sheet name="Raw f1" sheetId="3" state="visible" r:id="rId3"/>
    <sheet name="Raw f2" sheetId="4" state="visible" r:id="rId4"/>
    <sheet name="Processed" sheetId="5" state="visible" r:id="rId5"/>
    <sheet name="Curves" sheetId="6" state="visible" r:id="rId6"/>
    <sheet name="Fits" sheetId="7" state="visible" r:id="rId7"/>
    <sheet name="Sample calc" sheetId="8" state="visible" r:id="rId8"/>
    <sheet name="Windows" sheetId="9" state="visible" r:id="rId9"/>
    <sheet name="Char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E+00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f2 against d, each window (normal coordinates)</a:t>
            </a:r>
          </a:p>
        </rich>
      </tx>
    </title>
    <plotArea>
      <scatterChart>
        <ser>
          <idx val="0"/>
          <order val="0"/>
          <tx>
            <v>rect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'Windows'!$E$3:$E$10</f>
              </numRef>
            </minus>
            <plus>
              <numRef>
                <f>'Windows'!$E$3:$E$10</f>
              </numRef>
            </plus>
          </errBars>
          <xVal>
            <numRef>
              <f>'Windows'!$A$3:$A$10</f>
            </numRef>
          </xVal>
          <yVal>
            <numRef>
              <f>'Windows'!$D$3:$D$10</f>
            </numRef>
          </yVal>
        </ser>
        <ser>
          <idx val="1"/>
          <order val="1"/>
          <tx>
            <v>hann</v>
          </tx>
          <spPr>
            <a:ln>
              <a:noFill/>
              <a:prstDash val="solid"/>
            </a:ln>
          </spPr>
          <marker>
            <symbol val="squar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'Windows'!$K$3:$K$10</f>
              </numRef>
            </minus>
            <plus>
              <numRef>
                <f>'Windows'!$K$3:$K$10</f>
              </numRef>
            </plus>
          </errBars>
          <xVal>
            <numRef>
              <f>'Windows'!$A$3:$A$10</f>
            </numRef>
          </xVal>
          <yVal>
            <numRef>
              <f>'Windows'!$J$3:$J$10</f>
            </numRef>
          </yVal>
        </ser>
        <ser>
          <idx val="2"/>
          <order val="2"/>
          <tx>
            <v>hamming</v>
          </tx>
          <spPr>
            <a:ln>
              <a:noFill/>
              <a:prstDash val="solid"/>
            </a:ln>
          </spPr>
          <marker>
            <symbol val="triangl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'Windows'!$Q$3:$Q$10</f>
              </numRef>
            </minus>
            <plus>
              <numRef>
                <f>'Windows'!$Q$3:$Q$10</f>
              </numRef>
            </plus>
          </errBars>
          <xVal>
            <numRef>
              <f>'Windows'!$A$3:$A$10</f>
            </numRef>
          </xVal>
          <yVal>
            <numRef>
              <f>'Windows'!$P$3:$P$10</f>
            </numRef>
          </yVal>
        </ser>
        <ser>
          <idx val="3"/>
          <order val="3"/>
          <tx>
            <v>blackman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'Windows'!$W$3:$W$10</f>
              </numRef>
            </minus>
            <plus>
              <numRef>
                <f>'Windows'!$W$3:$W$10</f>
              </numRef>
            </plus>
          </errBars>
          <xVal>
            <numRef>
              <f>'Windows'!$A$3:$A$10</f>
            </numRef>
          </xVal>
          <yVal>
            <numRef>
              <f>'Windows'!$V$3:$V$10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f2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f2 against d, each window (FFT of xA alone)</a:t>
            </a:r>
          </a:p>
        </rich>
      </tx>
    </title>
    <plotArea>
      <scatterChart>
        <ser>
          <idx val="0"/>
          <order val="0"/>
          <tx>
            <v>rect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'Windows'!$E$22:$E$29</f>
              </numRef>
            </minus>
            <plus>
              <numRef>
                <f>'Windows'!$E$22:$E$29</f>
              </numRef>
            </plus>
          </errBars>
          <xVal>
            <numRef>
              <f>'Windows'!$A$22:$A$29</f>
            </numRef>
          </xVal>
          <yVal>
            <numRef>
              <f>'Windows'!$D$22:$D$29</f>
            </numRef>
          </yVal>
        </ser>
        <ser>
          <idx val="1"/>
          <order val="1"/>
          <tx>
            <v>hann</v>
          </tx>
          <spPr>
            <a:ln>
              <a:noFill/>
              <a:prstDash val="solid"/>
            </a:ln>
          </spPr>
          <marker>
            <symbol val="squar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'Windows'!$K$22:$K$29</f>
              </numRef>
            </minus>
            <plus>
              <numRef>
                <f>'Windows'!$K$22:$K$29</f>
              </numRef>
            </plus>
          </errBars>
          <xVal>
            <numRef>
              <f>'Windows'!$A$22:$A$29</f>
            </numRef>
          </xVal>
          <yVal>
            <numRef>
              <f>'Windows'!$J$22:$J$29</f>
            </numRef>
          </yVal>
        </ser>
        <ser>
          <idx val="2"/>
          <order val="2"/>
          <tx>
            <v>hamming</v>
          </tx>
          <spPr>
            <a:ln>
              <a:noFill/>
              <a:prstDash val="solid"/>
            </a:ln>
          </spPr>
          <marker>
            <symbol val="triangl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'Windows'!$Q$22:$Q$29</f>
              </numRef>
            </minus>
            <plus>
              <numRef>
                <f>'Windows'!$Q$22:$Q$29</f>
              </numRef>
            </plus>
          </errBars>
          <xVal>
            <numRef>
              <f>'Windows'!$A$22:$A$29</f>
            </numRef>
          </xVal>
          <yVal>
            <numRef>
              <f>'Windows'!$P$22:$P$29</f>
            </numRef>
          </yVal>
        </ser>
        <ser>
          <idx val="3"/>
          <order val="3"/>
          <tx>
            <v>blackman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'Windows'!$W$22:$W$29</f>
              </numRef>
            </minus>
            <plus>
              <numRef>
                <f>'Windows'!$W$22:$W$29</f>
              </numRef>
            </plus>
          </errBars>
          <xVal>
            <numRef>
              <f>'Windows'!$A$22:$A$29</f>
            </numRef>
          </xVal>
          <yVal>
            <numRef>
              <f>'Windows'!$V$22:$V$29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f2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f1 and f2 against d</a:t>
            </a:r>
          </a:p>
        </rich>
      </tx>
    </title>
    <plotArea>
      <scatterChart>
        <ser>
          <idx val="0"/>
          <order val="0"/>
          <tx>
            <v>f2 measured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'Processed'!$F$2:$F$9</f>
              </numRef>
            </minus>
            <plus>
              <numRef>
                <f>'Processed'!$F$2:$F$9</f>
              </numRef>
            </plus>
          </errBars>
          <xVal>
            <numRef>
              <f>'Processed'!$A$2:$A$9</f>
            </numRef>
          </xVal>
          <yVal>
            <numRef>
              <f>'Processed'!$E$2:$E$9</f>
            </numRef>
          </yVal>
        </ser>
        <ser>
          <idx val="1"/>
          <order val="1"/>
          <tx>
            <v>f1 measured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B35900"/>
              </a:solidFill>
              <a:ln>
                <a:solidFill>
                  <a:srgbClr val="B359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'Processed'!$D$2:$D$9</f>
              </numRef>
            </minus>
            <plus>
              <numRef>
                <f>'Processed'!$D$2:$D$9</f>
              </numRef>
            </plus>
          </errBars>
          <xVal>
            <numRef>
              <f>'Processed'!$A$2:$A$9</f>
            </numRef>
          </xVal>
          <yVal>
            <numRef>
              <f>'Processed'!$C$2:$C$9</f>
            </numRef>
          </yVal>
        </ser>
        <ser>
          <idx val="2"/>
          <order val="2"/>
          <tx>
            <v>f2 dipole model (C fitted, n = 5)</v>
          </tx>
          <spPr>
            <a:ln w="1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'Curves'!$B$2:$B$61</f>
            </numRef>
          </yVal>
          <smooth val="1"/>
        </ser>
        <ser>
          <idx val="3"/>
          <order val="3"/>
          <tx>
            <v>mean f1</v>
          </tx>
          <spPr>
            <a:ln w="15000">
              <a:solidFill>
                <a:srgbClr val="B359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'Curves'!$C$2:$C$61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ln(f2^2 - f1^2) against ln d</a:t>
            </a:r>
          </a:p>
        </rich>
      </tx>
    </title>
    <plotArea>
      <scatterChart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'Processed'!$P$2:$P$9</f>
              </numRef>
            </minus>
            <plus>
              <numRef>
                <f>'Processed'!$P$2:$P$9</f>
              </numRef>
            </plus>
          </errBars>
          <xVal>
            <numRef>
              <f>'Processed'!$M$2:$M$9</f>
            </numRef>
          </xVal>
          <yVal>
            <numRef>
              <f>'Processed'!$O$2:$O$9</f>
            </numRef>
          </yVal>
        </ser>
        <ser>
          <idx val="1"/>
          <order val="1"/>
          <tx>
            <v>best fit, gradient -3.97</v>
          </tx>
          <spPr>
            <a:ln w="1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'Curves'!$G$2:$G$31</f>
            </numRef>
          </yVal>
          <smooth val="0"/>
        </ser>
        <ser>
          <idx val="2"/>
          <order val="2"/>
          <tx>
            <v>max gradient -3.94</v>
          </tx>
          <spPr>
            <a:ln w="15000">
              <a:solidFill>
                <a:srgbClr val="7F7F7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'Curves'!$H$2:$H$31</f>
            </numRef>
          </yVal>
          <smooth val="0"/>
        </ser>
        <ser>
          <idx val="3"/>
          <order val="3"/>
          <tx>
            <v>min gradient -3.93</v>
          </tx>
          <spPr>
            <a:ln w="15000">
              <a:solidFill>
                <a:srgbClr val="7F7F7F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'Curves'!$I$2:$I$31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ln(d / 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ln[(f2^2 - f1^2) / Hz^2]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f_beat = f2 - f1 against d</a:t>
            </a:r>
          </a:p>
        </rich>
      </tx>
    </title>
    <plotArea>
      <scatterChart>
        <ser>
          <idx val="0"/>
          <order val="0"/>
          <tx>
            <v>measured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'Processed'!$J$2:$J$9</f>
              </numRef>
            </minus>
            <plus>
              <numRef>
                <f>'Processed'!$J$2:$J$9</f>
              </numRef>
            </plus>
          </errBars>
          <xVal>
            <numRef>
              <f>'Processed'!$A$2:$A$9</f>
            </numRef>
          </xVal>
          <yVal>
            <numRef>
              <f>'Processed'!$I$2:$I$9</f>
            </numRef>
          </yVal>
        </ser>
        <ser>
          <idx val="1"/>
          <order val="1"/>
          <tx>
            <v>dipole model</v>
          </tx>
          <spPr>
            <a:ln w="1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'Curves'!$D$2:$D$61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f_beat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(f2^2 - f1^2) d^5 against d  (flat = d^-5 law)</a:t>
            </a:r>
          </a:p>
        </rich>
      </tx>
    </title>
    <plotArea>
      <scatterChart>
        <ser>
          <idx val="0"/>
          <order val="0"/>
          <tx>
            <v>C_i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'Processed'!$R$2:$R$9</f>
              </numRef>
            </minus>
            <plus>
              <numRef>
                <f>'Processed'!$R$2:$R$9</f>
              </numRef>
            </plus>
          </errBars>
          <xVal>
            <numRef>
              <f>'Processed'!$A$2:$A$9</f>
            </numRef>
          </xVal>
          <yVal>
            <numRef>
              <f>'Processed'!$Q$2:$Q$9</f>
            </numRef>
          </yVal>
        </ser>
        <ser>
          <idx val="1"/>
          <order val="1"/>
          <tx>
            <v>C (fixed n = 5)</v>
          </tx>
          <spPr>
            <a:ln w="1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'Curves'!$J$2:$J$61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C_i / m^5 s^-2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f_avg against d</a:t>
            </a:r>
          </a:p>
        </rich>
      </tx>
    </title>
    <plotArea>
      <scatterChart>
        <ser>
          <idx val="0"/>
          <order val="0"/>
          <tx>
            <v>measured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'Processed'!$H$2:$H$9</f>
              </numRef>
            </minus>
            <plus>
              <numRef>
                <f>'Processed'!$H$2:$H$9</f>
              </numRef>
            </plus>
          </errBars>
          <xVal>
            <numRef>
              <f>'Processed'!$A$2:$A$9</f>
            </numRef>
          </xVal>
          <yVal>
            <numRef>
              <f>'Processed'!$G$2:$G$9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f_avg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FFT peak-height ratio against d</a:t>
            </a:r>
          </a:p>
        </rich>
      </tx>
    </title>
    <plotArea>
      <scatterChart>
        <ser>
          <idx val="0"/>
          <order val="0"/>
          <tx>
            <v>mass A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B35900"/>
              </a:solidFill>
              <a:ln>
                <a:solidFill>
                  <a:srgbClr val="B35900"/>
                </a:solidFill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'Processed'!$U$2:$U$9</f>
            </numRef>
          </yVal>
        </ser>
        <ser>
          <idx val="1"/>
          <order val="1"/>
          <tx>
            <v>mass B</v>
          </tx>
          <spPr>
            <a:ln>
              <a:noFill/>
              <a:prstDash val="solid"/>
            </a:ln>
          </spPr>
          <marker>
            <symbol val="squar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'Processed'!$V$2:$V$9</f>
            </numRef>
          </yVal>
        </ser>
        <ser>
          <idx val="2"/>
          <order val="2"/>
          <tx>
            <v>(f1/f2)^2 predicted</v>
          </tx>
          <spPr>
            <a:ln w="1500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'Processed'!$T$2:$T$9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|X(f2)| / |X(f1)|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image" Target="/xl/media/image1.png" Id="rId7" /><Relationship Type="http://schemas.openxmlformats.org/officeDocument/2006/relationships/image" Target="/xl/media/image2.png" Id="rId8" /><Relationship Type="http://schemas.openxmlformats.org/officeDocument/2006/relationships/image" Target="/xl/media/image3.png" Id="rId9" /><Relationship Type="http://schemas.openxmlformats.org/officeDocument/2006/relationships/image" Target="/xl/media/image4.png" Id="rId10" /><Relationship Type="http://schemas.openxmlformats.org/officeDocument/2006/relationships/image" Target="/xl/media/image5.png" Id="rId11" /><Relationship Type="http://schemas.openxmlformats.org/officeDocument/2006/relationships/image" Target="/xl/media/image6.png" Id="rId12" /><Relationship Type="http://schemas.openxmlformats.org/officeDocument/2006/relationships/image" Target="/xl/media/image7.png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0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21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42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42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63</row>
      <rowOff>0</rowOff>
    </from>
    <ext cx="5760720" cy="3520439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5760720" cy="3676459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8001000" cy="3200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8001000" cy="3200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5760720" cy="3200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2001500" cy="688086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8801100" cy="336042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Coupled magnetic-mechanical oscillator - data processing (generated by analyse_folder.py)</t>
        </is>
      </c>
    </row>
    <row r="2">
      <c r="A2" s="2" t="inlineStr"/>
    </row>
    <row r="3">
      <c r="A3" s="2" t="inlineStr">
        <is>
          <t>Input folder: C:\Users\GNHKC4633\Desktop\PythonTXT\Tracker EE txt   (36 trials, 8 separations)</t>
        </is>
      </c>
    </row>
    <row r="4">
      <c r="A4" s="2" t="inlineStr">
        <is>
          <t>Units: x converted from m to mm; frequencies in Hz; d in mm (uncertainty +-0.5 mm, ruler/vernier reading + magnet mounting)</t>
        </is>
      </c>
    </row>
    <row r="5">
      <c r="A5" s="2" t="inlineStr"/>
    </row>
    <row r="6">
      <c r="A6" s="1" t="inlineStr">
        <is>
          <t>METHOD PER TRIAL</t>
        </is>
      </c>
    </row>
    <row r="7">
      <c r="A7" s="2" t="inlineStr">
        <is>
          <t>1. Release detected automatically: the flat 'hold' segment is removed; the analysis starts when both masses are moving (column t_start).</t>
        </is>
      </c>
    </row>
    <row r="8">
      <c r="A8" s="2" t="inlineStr">
        <is>
          <t>2. Means removed (equilibrium positions); normal coordinates eta = xA + xB (in-phase) and xi = xB - xA (anti-phase) formed.</t>
        </is>
      </c>
    </row>
    <row r="9">
      <c r="A9" s="2" t="inlineStr">
        <is>
          <t>3. |FFT| of eta and xi (rect window, zero-padded to 2^18 points, parabolic peak interpolation): f1 = peak of eta, f2 = peak of xi.</t>
        </is>
      </c>
    </row>
    <row r="10">
      <c r="A10" s="2" t="inlineStr">
        <is>
          <t xml:space="preserve">   Each normal coordinate contains only ONE frequency, so the two peaks never overlap (columns eta_leak / xi_leak show the residual of the other mode; ~0 = identical springs).</t>
        </is>
      </c>
    </row>
    <row r="11">
      <c r="A11" s="2" t="inlineStr">
        <is>
          <t>4. Cross-checks: two-peak FFT of xA alone and xB alone (Hann); beat period from the envelope maxima; peak-height ratio vs (f1/f2)^2; decay time tau.</t>
        </is>
      </c>
    </row>
    <row r="12">
      <c r="A12" s="2" t="inlineStr"/>
    </row>
    <row r="13">
      <c r="A13" s="2" t="inlineStr">
        <is>
          <t>UNCERTAINTIES (international-essay / IB style)</t>
        </is>
      </c>
    </row>
    <row r="14">
      <c r="A14" s="2" t="inlineStr">
        <is>
          <t>- FFT resolution: one frequency bin = 1/T; reading uncertainty of a peak taken as half a bin = 1/(2T) (column halfbin).</t>
        </is>
      </c>
    </row>
    <row r="15">
      <c r="A15" s="2" t="inlineStr">
        <is>
          <t>- Random: half-range (max - min)/2 of the 5 trials (sample too small for a reliable standard deviation; the SD is listed for comparison).</t>
        </is>
      </c>
    </row>
    <row r="16">
      <c r="A16" s="2" t="inlineStr">
        <is>
          <t>- Adopted uncertainty of f1, f2 at each d: the larger of half-range and half-bin.</t>
        </is>
      </c>
    </row>
    <row r="17">
      <c r="A17" s="2" t="inlineStr">
        <is>
          <t>- Propagation (absolute uncertainties added): d(f_avg) = (df1 + df2)/2;  d(f_beat) = df1 + df2;  d(f2^2 - f1^2) = 2 f2 df2 + 2 f1 df1;  d(ln y) = dy / y;  d(ln d) = dd / d.</t>
        </is>
      </c>
    </row>
    <row r="18">
      <c r="A18" s="2" t="inlineStr">
        <is>
          <t>- Gradient of the ln-ln graph: best fit (least squares, = Excel LINEST) with the max/min gradient lines through the extreme error bars of the first and last points; dn = (n_max - n_min)/2.</t>
        </is>
      </c>
    </row>
    <row r="19">
      <c r="A19" s="2" t="inlineStr"/>
    </row>
    <row r="20">
      <c r="A20" s="1" t="inlineStr">
        <is>
          <t>SHEETS</t>
        </is>
      </c>
    </row>
    <row r="21">
      <c r="A21" s="2" t="inlineStr">
        <is>
          <t>Trials: every file.  Raw f1 / Raw f2: trial values, mean +- uncertainty (Table 4 style).  Processed: derived quantities with uncertainties (Table 5 style).</t>
        </is>
      </c>
    </row>
    <row r="22">
      <c r="A22" s="2" t="inlineStr">
        <is>
          <t>Fits: gradient, C, f1 constancy, theory-vs-experiment comparison (Table 7 style).  Charts: native Excel charts (y error bars) + the matplotlib graphs (x and y error bars).</t>
        </is>
      </c>
    </row>
    <row r="23">
      <c r="A23" s="2" t="inlineStr">
        <is>
          <t>Windows: the whole analysis repeated with rectangular / Hann / Hamming / Blackman windows and with both extraction methods (normal coordinates; conventional two-peak FFT of mass A) -&gt; Graphs 6 and 7.</t>
        </is>
      </c>
    </row>
    <row r="24">
      <c r="A24" s="2" t="inlineStr">
        <is>
          <t>Sample calc: live Excel formulas reproducing the processing for the first separation.  Infinity: uncoupled recordings (fa, fb) if present.</t>
        </is>
      </c>
    </row>
    <row r="25">
      <c r="A25" s="2" t="inlineStr"/>
    </row>
    <row r="26">
      <c r="A26" s="1" t="inlineStr">
        <is>
          <t>WARNINGS PRINTED DURING THE RUN</t>
        </is>
      </c>
    </row>
    <row r="27">
      <c r="A27" s="2" t="inlineStr">
        <is>
          <t xml:space="preserve">      WARNING: mean(xB) - mean(xA) = 27.1 mm but folder says d = 24.5 mm: if both templates are centred on the magnets this IS d (check ruler value / calibration stick); if the templates sit on different features the offset is harmless</t>
        </is>
      </c>
    </row>
    <row r="28">
      <c r="A28" s="2" t="inlineStr">
        <is>
          <t xml:space="preserve">      WARNING: mass B was already swinging (+-2.8 mm) during 0.08-0.31 s while A was still held -&gt; f1, f2 unaffected (analysis starts at A's release), but the peak-height-ratio / beat-minimum tests do not apply to this trial (hold A, pull it slowly, wait until B is still, release)</t>
        </is>
      </c>
    </row>
    <row r="29">
      <c r="A29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30">
      <c r="A30" s="2" t="inlineStr">
        <is>
          <t xml:space="preserve">      WARNING: mean(xB) - mean(xA) = 27.2 mm but folder says d = 24.5 mm: if both templates are centred on the magnets this IS d (check ruler value / calibration stick); if the templates sit on different features the offset is harmless</t>
        </is>
      </c>
    </row>
    <row r="31">
      <c r="A3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32">
      <c r="A32" s="2" t="inlineStr">
        <is>
          <t xml:space="preserve">      WARNING: mean(xB) - mean(xA) = 27.0 mm but folder says d = 24.5 mm: if both templates are centred on the magnets this IS d (check ruler value / calibration stick); if the templates sit on different features the offset is harmless</t>
        </is>
      </c>
    </row>
    <row r="33">
      <c r="A33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34">
      <c r="A34" s="2" t="inlineStr">
        <is>
          <t xml:space="preserve">      WARNING: mean(xB) - mean(xA) = 27.2 mm but folder says d = 24.5 mm: if both templates are centred on the magnets this IS d (check ruler value / calibration stick); if the templates sit on different features the offset is harmless</t>
        </is>
      </c>
    </row>
    <row r="35">
      <c r="A35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36">
      <c r="A36" s="2" t="inlineStr">
        <is>
          <t xml:space="preserve">      WARNING: mean(xB) - mean(xA) = 27.2 mm but folder says d = 24.5 mm: if both templates are centred on the magnets this IS d (check ruler value / calibration stick); if the templates sit on different features the offset is harmless</t>
        </is>
      </c>
    </row>
    <row r="37">
      <c r="A37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38">
      <c r="A38" s="2" t="inlineStr">
        <is>
          <t xml:space="preserve">      WARNING: mean(xB) - mean(xA) = 289.9 mm but folder says d = 26.5 mm: if both templates are centred on the magnets this IS d (check ruler value / calibration stick); if the templates sit on different features the offset is harmless</t>
        </is>
      </c>
    </row>
    <row r="39">
      <c r="A39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0">
      <c r="A40" s="2" t="inlineStr">
        <is>
          <t xml:space="preserve">      WARNING: mean(xB) - mean(xA) = 29.0 mm but folder says d = 26.5 mm: if both templates are centred on the magnets this IS d (check ruler value / calibration stick); if the templates sit on different features the offset is harmless</t>
        </is>
      </c>
    </row>
    <row r="41">
      <c r="A4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2">
      <c r="A42" s="2" t="inlineStr">
        <is>
          <t xml:space="preserve">      WARNING: mean(xB) - mean(xA) = 28.6 mm but folder says d = 26.5 mm: if both templates are centred on the magnets this IS d (check ruler value / calibration stick); if the templates sit on different features the offset is harmless</t>
        </is>
      </c>
    </row>
    <row r="43">
      <c r="A43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4">
      <c r="A44" s="2" t="inlineStr">
        <is>
          <t xml:space="preserve">      WARNING: mean(xB) - mean(xA) = 28.7 mm but folder says d = 26.5 mm: if both templates are centred on the magnets this IS d (check ruler value / calibration stick); if the templates sit on different features the offset is harmless</t>
        </is>
      </c>
    </row>
    <row r="45">
      <c r="A45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46">
      <c r="A46" s="2" t="inlineStr">
        <is>
          <t xml:space="preserve">      WARNING: mean(xB) - mean(xA) = 28.8 mm but folder says d = 26.5 mm: if both templates are centred on the magnets this IS d (check ruler value / calibration stick); if the templates sit on different features the offset is harmless</t>
        </is>
      </c>
    </row>
    <row r="47">
      <c r="A47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8">
      <c r="A48" s="2" t="inlineStr">
        <is>
          <t xml:space="preserve">      WARNING: mean(xB) - mean(xA) = 30.6 mm but folder says d = 28.5 mm: if both templates are centred on the magnets this IS d (check ruler value / calibration stick); if the templates sit on different features the offset is harmless</t>
        </is>
      </c>
    </row>
    <row r="49">
      <c r="A49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0">
      <c r="A50" s="2" t="inlineStr">
        <is>
          <t xml:space="preserve">      WARNING: mean(xB) - mean(xA) = 30.6 mm but folder says d = 28.5 mm: if both templates are centred on the magnets this IS d (check ruler value / calibration stick); if the templates sit on different features the offset is harmless</t>
        </is>
      </c>
    </row>
    <row r="51">
      <c r="A51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2">
      <c r="A52" s="2" t="inlineStr">
        <is>
          <t xml:space="preserve">      WARNING: mean(xB) - mean(xA) = 30.5 mm but folder says d = 28.5 mm: if both templates are centred on the magnets this IS d (check ruler value / calibration stick); if the templates sit on different features the offset is harmless</t>
        </is>
      </c>
    </row>
    <row r="53">
      <c r="A53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4">
      <c r="A54" s="2" t="inlineStr">
        <is>
          <t xml:space="preserve">      WARNING: mean(xB) - mean(xA) = 30.5 mm but folder says d = 28.5 mm: if both templates are centred on the magnets this IS d (check ruler value / calibration stick); if the templates sit on different features the offset is harmless</t>
        </is>
      </c>
    </row>
    <row r="55">
      <c r="A55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56">
      <c r="A56" s="2" t="inlineStr">
        <is>
          <t xml:space="preserve">      WARNING: mean(xB) - mean(xA) = 30.5 mm but folder says d = 28.5 mm: if both templates are centred on the magnets this IS d (check ruler value / calibration stick); if the templates sit on different features the offset is harmless</t>
        </is>
      </c>
    </row>
    <row r="57">
      <c r="A57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58">
      <c r="A58" s="2" t="inlineStr">
        <is>
          <t xml:space="preserve">      WARNING: mean(xB) - mean(xA) = 32.0 mm but folder says d = 31.0 mm: if both templates are centred on the magnets this IS d (check ruler value / calibration stick); if the templates sit on different features the offset is harmless</t>
        </is>
      </c>
    </row>
    <row r="59">
      <c r="A59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0">
      <c r="A60" s="2" t="inlineStr">
        <is>
          <t xml:space="preserve">      WARNING: mean(xB) - mean(xA) = 32.2 mm but folder says d = 31.0 mm: if both templates are centred on the magnets this IS d (check ruler value / calibration stick); if the templates sit on different features the offset is harmless</t>
        </is>
      </c>
    </row>
    <row r="61">
      <c r="A6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2">
      <c r="A62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63">
      <c r="A63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4">
      <c r="A64" s="2" t="inlineStr">
        <is>
          <t xml:space="preserve">      WARNING: mean(xB) - mean(xA) = 32.2 mm but folder says d = 31.0 mm: if both templates are centred on the magnets this IS d (check ruler value / calibration stick); if the templates sit on different features the offset is harmless</t>
        </is>
      </c>
    </row>
    <row r="65">
      <c r="A65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6">
      <c r="A6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7">
      <c r="A67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8">
      <c r="A6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9">
      <c r="A69" s="2" t="inlineStr">
        <is>
          <t xml:space="preserve">      WARNING: mean(xB) - mean(xA) = 34.5 mm but folder says d = 33.5 mm: if both templates are centred on the magnets this IS d (check ruler value / calibration stick); if the templates sit on different features the offset is harmless</t>
        </is>
      </c>
    </row>
    <row r="70">
      <c r="A70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1">
      <c r="A71" s="2" t="inlineStr">
        <is>
          <t xml:space="preserve">      WARNING: mean(xB) - mean(xA) = 34.6 mm but folder says d = 33.5 mm: if both templates are centred on the magnets this IS d (check ruler value / calibration stick); if the templates sit on different features the offset is harmless</t>
        </is>
      </c>
    </row>
    <row r="72">
      <c r="A72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3">
      <c r="A73" s="2" t="inlineStr">
        <is>
          <t xml:space="preserve">      WARNING: mean(xB) - mean(xA) = 37.7 mm but folder says d = 36.0 mm: if both templates are centred on the magnets this IS d (check ruler value / calibration stick); if the templates sit on different features the offset is harmless</t>
        </is>
      </c>
    </row>
    <row r="74">
      <c r="A74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5">
      <c r="A75" s="2" t="inlineStr">
        <is>
          <t xml:space="preserve">      WARNING: mean(xB) - mean(xA) = 37.8 mm but folder says d = 36.0 mm: if both templates are centred on the magnets this IS d (check ruler value / calibration stick); if the templates sit on different features the offset is harmless</t>
        </is>
      </c>
    </row>
    <row r="76">
      <c r="A7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7">
      <c r="A77" s="2" t="inlineStr">
        <is>
          <t xml:space="preserve">      WARNING: mean(xB) - mean(xA) = 37.7 mm but folder says d = 36.0 mm: if both templates are centred on the magnets this IS d (check ruler value / calibration stick); if the templates sit on different features the offset is harmless</t>
        </is>
      </c>
    </row>
    <row r="78">
      <c r="A7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9">
      <c r="A79" s="2" t="inlineStr">
        <is>
          <t xml:space="preserve">      WARNING: mean(xB) - mean(xA) = 37.8 mm but folder says d = 36.0 mm: if both templates are centred on the magnets this IS d (check ruler value / calibration stick); if the templates sit on different features the offset is harmless</t>
        </is>
      </c>
    </row>
    <row r="80">
      <c r="A80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1">
      <c r="A81" s="2" t="inlineStr">
        <is>
          <t xml:space="preserve">      WARNING: mean(xB) - mean(xA) = 37.6 mm but folder says d = 36.0 mm: if both templates are centred on the magnets this IS d (check ruler value / calibration stick); if the templates sit on different features the offset is harmless</t>
        </is>
      </c>
    </row>
    <row r="82">
      <c r="A82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3">
      <c r="A83" s="2" t="inlineStr">
        <is>
          <t xml:space="preserve">      WARNING: mean(xB) - mean(xA) = 41.3 mm but folder says d = 39.0 mm: if both templates are centred on the magnets this IS d (check ruler value / calibration stick); if the templates sit on different features the offset is harmless</t>
        </is>
      </c>
    </row>
    <row r="84">
      <c r="A84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5">
      <c r="A85" s="2" t="inlineStr">
        <is>
          <t xml:space="preserve">      WARNING: mean(xB) - mean(xA) = 41.3 mm but folder says d = 39.0 mm: if both templates are centred on the magnets this IS d (check ruler value / calibration stick); if the templates sit on different features the offset is harmless</t>
        </is>
      </c>
    </row>
    <row r="86">
      <c r="A8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7">
      <c r="A87" s="2" t="inlineStr">
        <is>
          <t xml:space="preserve">      WARNING: mean(xB) - mean(xA) = 41.4 mm but folder says d = 39.0 mm: if both templates are centred on the magnets this IS d (check ruler value / calibration stick); if the templates sit on different features the offset is harmless</t>
        </is>
      </c>
    </row>
    <row r="88">
      <c r="A8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9">
      <c r="A89" s="2" t="inlineStr">
        <is>
          <t xml:space="preserve">      WARNING: mean(xB) - mean(xA) = 41.3 mm but folder says d = 39.0 mm: if both templates are centred on the magnets this IS d (check ruler value / calibration stick); if the templates sit on different features the offset is harmless</t>
        </is>
      </c>
    </row>
    <row r="90">
      <c r="A90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1">
      <c r="A91" s="2" t="inlineStr">
        <is>
          <t xml:space="preserve">      WARNING: mean(xB) - mean(xA) = 41.2 mm but folder says d = 39.0 mm: if both templates are centred on the magnets this IS d (check ruler value / calibration stick); if the templates sit on different features the offset is harmless</t>
        </is>
      </c>
    </row>
    <row r="92">
      <c r="A92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3">
      <c r="A93" s="2" t="inlineStr">
        <is>
          <t xml:space="preserve">      WARNING: mean(xB) - mean(xA) = 44.6 mm but folder says d = 42.0 mm: if both templates are centred on the magnets this IS d (check ruler value / calibration stick); if the templates sit on different features the offset is harmless</t>
        </is>
      </c>
    </row>
    <row r="94">
      <c r="A94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A1" s="3" t="inlineStr">
        <is>
          <t>d_mm</t>
        </is>
      </c>
      <c r="B1" s="3" t="inlineStr">
        <is>
          <t>trial</t>
        </is>
      </c>
      <c r="C1" s="3" t="inlineStr">
        <is>
          <t>file</t>
        </is>
      </c>
      <c r="D1" s="3" t="inlineStr">
        <is>
          <t>fs</t>
        </is>
      </c>
      <c r="E1" s="3" t="inlineStr">
        <is>
          <t>T</t>
        </is>
      </c>
      <c r="F1" s="3" t="inlineStr">
        <is>
          <t>N</t>
        </is>
      </c>
      <c r="G1" s="3" t="inlineStr">
        <is>
          <t>t_start</t>
        </is>
      </c>
      <c r="H1" s="3" t="inlineStr">
        <is>
          <t>t_start_A</t>
        </is>
      </c>
      <c r="I1" s="3" t="inlineStr">
        <is>
          <t>t_start_B</t>
        </is>
      </c>
      <c r="J1" s="3" t="inlineStr">
        <is>
          <t>B_preswing_mm</t>
        </is>
      </c>
      <c r="K1" s="3" t="inlineStr">
        <is>
          <t>bin_Hz</t>
        </is>
      </c>
      <c r="L1" s="3" t="inlineStr">
        <is>
          <t>halfbin_Hz</t>
        </is>
      </c>
      <c r="M1" s="3" t="inlineStr">
        <is>
          <t>method</t>
        </is>
      </c>
      <c r="N1" s="3" t="inlineStr">
        <is>
          <t>f1</t>
        </is>
      </c>
      <c r="O1" s="3" t="inlineStr">
        <is>
          <t>f2</t>
        </is>
      </c>
      <c r="P1" s="3" t="inlineStr">
        <is>
          <t>f1_winspread</t>
        </is>
      </c>
      <c r="Q1" s="3" t="inlineStr">
        <is>
          <t>f2_winspread</t>
        </is>
      </c>
      <c r="R1" s="3" t="inlineStr">
        <is>
          <t>f1_A</t>
        </is>
      </c>
      <c r="S1" s="3" t="inlineStr">
        <is>
          <t>f2_A</t>
        </is>
      </c>
      <c r="T1" s="3" t="inlineStr">
        <is>
          <t>f1_B</t>
        </is>
      </c>
      <c r="U1" s="3" t="inlineStr">
        <is>
          <t>f2_B</t>
        </is>
      </c>
      <c r="V1" s="3" t="inlineStr">
        <is>
          <t>eta_leak</t>
        </is>
      </c>
      <c r="W1" s="3" t="inlineStr">
        <is>
          <t>xi_leak</t>
        </is>
      </c>
      <c r="X1" s="3" t="inlineStr">
        <is>
          <t>rA</t>
        </is>
      </c>
      <c r="Y1" s="3" t="inlineStr">
        <is>
          <t>rB</t>
        </is>
      </c>
      <c r="Z1" s="3" t="inlineStr">
        <is>
          <t>ratio_pred</t>
        </is>
      </c>
      <c r="AA1" s="3" t="inlineStr">
        <is>
          <t>T_beat_fft</t>
        </is>
      </c>
      <c r="AB1" s="3" t="inlineStr">
        <is>
          <t>T_beat_env</t>
        </is>
      </c>
      <c r="AC1" s="3" t="inlineStr">
        <is>
          <t>dT_beat_env</t>
        </is>
      </c>
      <c r="AD1" s="3" t="inlineStr">
        <is>
          <t>n_beats</t>
        </is>
      </c>
      <c r="AE1" s="3" t="inlineStr">
        <is>
          <t>env_minmax</t>
        </is>
      </c>
      <c r="AF1" s="3" t="inlineStr">
        <is>
          <t>tau_s</t>
        </is>
      </c>
      <c r="AG1" s="3" t="inlineStr">
        <is>
          <t>d_track_mm</t>
        </is>
      </c>
      <c r="AH1" s="3" t="inlineStr">
        <is>
          <t>A_mm</t>
        </is>
      </c>
    </row>
    <row r="2">
      <c r="A2" t="n">
        <v>24.5</v>
      </c>
      <c r="B2" t="n">
        <v>1</v>
      </c>
      <c r="C2" t="inlineStr">
        <is>
          <t>24.5_1.txt</t>
        </is>
      </c>
      <c r="D2" t="n">
        <v>119.3852346537371</v>
      </c>
      <c r="E2" t="n">
        <v>10.6210789272031</v>
      </c>
      <c r="F2" t="n">
        <v>1269</v>
      </c>
      <c r="G2" t="n">
        <v>0.31</v>
      </c>
      <c r="H2" t="n">
        <v>0.31</v>
      </c>
      <c r="I2" t="n">
        <v>0.08400000000000001</v>
      </c>
      <c r="J2" t="n">
        <v>2.779999999999999</v>
      </c>
      <c r="K2" t="n">
        <v>0.09415239326004474</v>
      </c>
      <c r="L2" t="n">
        <v>0.04707619663002237</v>
      </c>
      <c r="M2" t="inlineStr">
        <is>
          <t>eta/xi</t>
        </is>
      </c>
      <c r="N2" t="n">
        <v>6.419406301627559</v>
      </c>
      <c r="O2" t="n">
        <v>8.540313099876714</v>
      </c>
      <c r="P2" t="n">
        <v>4.035220663478611e-05</v>
      </c>
      <c r="Q2" t="n">
        <v>7.297264044581198e-06</v>
      </c>
      <c r="R2" t="n">
        <v>6.419437644466647</v>
      </c>
      <c r="S2" t="n">
        <v>8.540319183634677</v>
      </c>
      <c r="T2" t="n">
        <v>6.41951670950622</v>
      </c>
      <c r="U2" t="n">
        <v>8.540281866568815</v>
      </c>
      <c r="V2" t="n">
        <v>0.02861344826169161</v>
      </c>
      <c r="W2" t="n">
        <v>0.03381317344508748</v>
      </c>
      <c r="X2" t="n">
        <v>0.4813090545224997</v>
      </c>
      <c r="Y2" t="n">
        <v>0.5274643316824766</v>
      </c>
      <c r="Z2" t="n">
        <v>0.5649917974845377</v>
      </c>
      <c r="AA2" t="n">
        <v>0.4714964376678489</v>
      </c>
      <c r="AB2" t="n">
        <v>0.4719122633488464</v>
      </c>
      <c r="AC2" t="n">
        <v>0.0004117584355112276</v>
      </c>
      <c r="AD2" t="n">
        <v>21</v>
      </c>
      <c r="AE2" t="n">
        <v>0.3281412574160636</v>
      </c>
      <c r="AF2" t="n">
        <v>26.1959808526387</v>
      </c>
      <c r="AG2" t="n">
        <v>27.11846336214867</v>
      </c>
      <c r="AH2" t="n">
        <v>2.804056601958317</v>
      </c>
    </row>
    <row r="3">
      <c r="A3" t="n">
        <v>24.5</v>
      </c>
      <c r="B3" t="n">
        <v>2</v>
      </c>
      <c r="C3" t="inlineStr">
        <is>
          <t>24.5_2.txt</t>
        </is>
      </c>
      <c r="D3" t="n">
        <v>119.3799854967368</v>
      </c>
      <c r="E3" t="n">
        <v>10.90635079726651</v>
      </c>
      <c r="F3" t="n">
        <v>1303</v>
      </c>
      <c r="G3" t="n">
        <v>0.126</v>
      </c>
      <c r="H3" t="n">
        <v>0.08400000000000001</v>
      </c>
      <c r="I3" t="n">
        <v>0.126</v>
      </c>
      <c r="K3" t="n">
        <v>0.09168969700210197</v>
      </c>
      <c r="L3" t="n">
        <v>0.04584484850105099</v>
      </c>
      <c r="M3" t="inlineStr">
        <is>
          <t>eta/xi</t>
        </is>
      </c>
      <c r="N3" t="n">
        <v>6.419089493849206</v>
      </c>
      <c r="O3" t="n">
        <v>8.540947947676575</v>
      </c>
      <c r="P3" t="n">
        <v>8.810106658341255e-05</v>
      </c>
      <c r="Q3" t="n">
        <v>5.98134101226222e-05</v>
      </c>
      <c r="R3" t="n">
        <v>6.418940349490151</v>
      </c>
      <c r="S3" t="n">
        <v>8.540766509967577</v>
      </c>
      <c r="T3" t="n">
        <v>6.418889405095191</v>
      </c>
      <c r="U3" t="n">
        <v>8.540903220171998</v>
      </c>
      <c r="V3" t="n">
        <v>0.005760044465243229</v>
      </c>
      <c r="W3" t="n">
        <v>0.05600810185896266</v>
      </c>
      <c r="X3" t="n">
        <v>0.5013056503260871</v>
      </c>
      <c r="Y3" t="n">
        <v>0.5473966125155552</v>
      </c>
      <c r="Z3" t="n">
        <v>0.5648520522408975</v>
      </c>
      <c r="AA3" t="n">
        <v>0.4712849710574327</v>
      </c>
      <c r="AB3" t="n">
        <v>0.4687225142781684</v>
      </c>
      <c r="AC3" t="n">
        <v>0.001001167476249935</v>
      </c>
      <c r="AD3" t="n">
        <v>23</v>
      </c>
      <c r="AE3" t="n">
        <v>0.3365156614103267</v>
      </c>
      <c r="AF3" t="n">
        <v>31.5705778886974</v>
      </c>
      <c r="AG3" t="n">
        <v>27.17845670068623</v>
      </c>
      <c r="AH3" t="n">
        <v>3.11561245077723</v>
      </c>
    </row>
    <row r="4">
      <c r="A4" t="n">
        <v>24.5</v>
      </c>
      <c r="B4" t="n">
        <v>3</v>
      </c>
      <c r="C4" t="inlineStr">
        <is>
          <t>24.5_3.txt</t>
        </is>
      </c>
      <c r="D4" t="n">
        <v>119.3852346537371</v>
      </c>
      <c r="E4" t="n">
        <v>10.83048505747126</v>
      </c>
      <c r="F4" t="n">
        <v>1294</v>
      </c>
      <c r="G4" t="n">
        <v>0.1</v>
      </c>
      <c r="H4" t="n">
        <v>0.067</v>
      </c>
      <c r="I4" t="n">
        <v>0.1</v>
      </c>
      <c r="K4" t="n">
        <v>0.09233196802299855</v>
      </c>
      <c r="L4" t="n">
        <v>0.04616598401149927</v>
      </c>
      <c r="M4" t="inlineStr">
        <is>
          <t>eta/xi</t>
        </is>
      </c>
      <c r="N4" t="n">
        <v>6.419869948836316</v>
      </c>
      <c r="O4" t="n">
        <v>8.54041543933724</v>
      </c>
      <c r="P4" t="n">
        <v>1.430842135041743e-05</v>
      </c>
      <c r="Q4" t="n">
        <v>5.485026911866697e-05</v>
      </c>
      <c r="R4" t="n">
        <v>6.419887545311017</v>
      </c>
      <c r="S4" t="n">
        <v>8.540313912942363</v>
      </c>
      <c r="T4" t="n">
        <v>6.419794029727763</v>
      </c>
      <c r="U4" t="n">
        <v>8.540324082945864</v>
      </c>
      <c r="V4" t="n">
        <v>0.01193767503755771</v>
      </c>
      <c r="W4" t="n">
        <v>0.04808440130511578</v>
      </c>
      <c r="X4" t="n">
        <v>0.4857103038194538</v>
      </c>
      <c r="Y4" t="n">
        <v>0.529830614257278</v>
      </c>
      <c r="Z4" t="n">
        <v>0.5650598720571246</v>
      </c>
      <c r="AA4" t="n">
        <v>0.4715767732781699</v>
      </c>
      <c r="AB4" t="n">
        <v>0.4685635152423787</v>
      </c>
      <c r="AC4" t="n">
        <v>0.001347502461581396</v>
      </c>
      <c r="AD4" t="n">
        <v>23</v>
      </c>
      <c r="AE4" t="n">
        <v>0.3574262718467934</v>
      </c>
      <c r="AF4" t="n">
        <v>28.81354153257595</v>
      </c>
      <c r="AG4" t="n">
        <v>26.96114661010597</v>
      </c>
      <c r="AH4" t="n">
        <v>2.826139573275857</v>
      </c>
    </row>
    <row r="5">
      <c r="A5" t="n">
        <v>24.5</v>
      </c>
      <c r="B5" t="n">
        <v>4</v>
      </c>
      <c r="C5" t="inlineStr">
        <is>
          <t>24.5_4.txt</t>
        </is>
      </c>
      <c r="D5" t="n">
        <v>119.3852346537371</v>
      </c>
      <c r="E5" t="n">
        <v>10.77185134099617</v>
      </c>
      <c r="F5" t="n">
        <v>1287</v>
      </c>
      <c r="G5" t="n">
        <v>0.159</v>
      </c>
      <c r="H5" t="n">
        <v>0.08400000000000001</v>
      </c>
      <c r="I5" t="n">
        <v>0.159</v>
      </c>
      <c r="K5" t="n">
        <v>0.09283455260788266</v>
      </c>
      <c r="L5" t="n">
        <v>0.04641727630394133</v>
      </c>
      <c r="M5" t="inlineStr">
        <is>
          <t>eta/xi</t>
        </is>
      </c>
      <c r="N5" t="n">
        <v>6.418374081644255</v>
      </c>
      <c r="O5" t="n">
        <v>8.540954243350058</v>
      </c>
      <c r="P5" t="n">
        <v>7.264435024234572e-05</v>
      </c>
      <c r="Q5" t="n">
        <v>3.826104439763611e-05</v>
      </c>
      <c r="R5" t="n">
        <v>6.418557792653058</v>
      </c>
      <c r="S5" t="n">
        <v>8.540917430047514</v>
      </c>
      <c r="T5" t="n">
        <v>6.418400592666784</v>
      </c>
      <c r="U5" t="n">
        <v>8.541085300018056</v>
      </c>
      <c r="V5" t="n">
        <v>0.01884800860931062</v>
      </c>
      <c r="W5" t="n">
        <v>0.04372275681718416</v>
      </c>
      <c r="X5" t="n">
        <v>0.5135921759448762</v>
      </c>
      <c r="Y5" t="n">
        <v>0.5626169588808746</v>
      </c>
      <c r="Z5" t="n">
        <v>0.5647253203738519</v>
      </c>
      <c r="AA5" t="n">
        <v>0.4711247273678249</v>
      </c>
      <c r="AB5" t="n">
        <v>0.4683013023488255</v>
      </c>
      <c r="AC5" t="n">
        <v>0.001588535982607578</v>
      </c>
      <c r="AD5" t="n">
        <v>23</v>
      </c>
      <c r="AE5" t="n">
        <v>0.3234319402825226</v>
      </c>
      <c r="AF5" t="n">
        <v>27.99163841597513</v>
      </c>
      <c r="AG5" t="n">
        <v>27.19861728692763</v>
      </c>
      <c r="AH5" t="n">
        <v>3.118333964665817</v>
      </c>
    </row>
    <row r="6">
      <c r="A6" t="n">
        <v>24.5</v>
      </c>
      <c r="B6" t="n">
        <v>5</v>
      </c>
      <c r="C6" t="inlineStr">
        <is>
          <t>24.5_5.txt</t>
        </is>
      </c>
      <c r="D6" t="n">
        <v>119.3825356229448</v>
      </c>
      <c r="E6" t="n">
        <v>10.79722417750574</v>
      </c>
      <c r="F6" t="n">
        <v>1290</v>
      </c>
      <c r="G6" t="n">
        <v>0.151</v>
      </c>
      <c r="H6" t="n">
        <v>0.109</v>
      </c>
      <c r="I6" t="n">
        <v>0.151</v>
      </c>
      <c r="K6" t="n">
        <v>0.09261639691461969</v>
      </c>
      <c r="L6" t="n">
        <v>0.04630819845730984</v>
      </c>
      <c r="M6" t="inlineStr">
        <is>
          <t>eta/xi</t>
        </is>
      </c>
      <c r="N6" t="n">
        <v>6.419029860116187</v>
      </c>
      <c r="O6" t="n">
        <v>8.541346442375042</v>
      </c>
      <c r="P6" t="n">
        <v>3.694808952747763e-05</v>
      </c>
      <c r="Q6" t="n">
        <v>2.128808852308595e-05</v>
      </c>
      <c r="R6" t="n">
        <v>6.419071838112836</v>
      </c>
      <c r="S6" t="n">
        <v>8.541237824830517</v>
      </c>
      <c r="T6" t="n">
        <v>6.418834927454003</v>
      </c>
      <c r="U6" t="n">
        <v>8.54136743923673</v>
      </c>
      <c r="V6" t="n">
        <v>0.01771949892853064</v>
      </c>
      <c r="W6" t="n">
        <v>0.04780595774150636</v>
      </c>
      <c r="X6" t="n">
        <v>0.4936815849000983</v>
      </c>
      <c r="Y6" t="n">
        <v>0.5425200156038908</v>
      </c>
      <c r="Z6" t="n">
        <v>0.5647888533740469</v>
      </c>
      <c r="AA6" t="n">
        <v>0.4711832383346246</v>
      </c>
      <c r="AB6" t="n">
        <v>0.4674997398622803</v>
      </c>
      <c r="AC6" t="n">
        <v>0.001341477116698071</v>
      </c>
      <c r="AD6" t="n">
        <v>23</v>
      </c>
      <c r="AE6" t="n">
        <v>0.3478425634834794</v>
      </c>
      <c r="AF6" t="n">
        <v>29.55295663966686</v>
      </c>
      <c r="AG6" t="n">
        <v>27.18568884407482</v>
      </c>
      <c r="AH6" t="n">
        <v>3.236389677325077</v>
      </c>
    </row>
    <row r="7">
      <c r="A7" t="n">
        <v>26.5</v>
      </c>
      <c r="B7" t="n">
        <v>1</v>
      </c>
      <c r="C7" t="inlineStr">
        <is>
          <t>26.5_1.txt</t>
        </is>
      </c>
      <c r="D7" t="n">
        <v>119.3784277879342</v>
      </c>
      <c r="E7" t="n">
        <v>10.77246554364472</v>
      </c>
      <c r="F7" t="n">
        <v>1287</v>
      </c>
      <c r="G7" t="n">
        <v>0.168</v>
      </c>
      <c r="H7" t="n">
        <v>0.117</v>
      </c>
      <c r="I7" t="n">
        <v>0.168</v>
      </c>
      <c r="K7" t="n">
        <v>0.09282925955515879</v>
      </c>
      <c r="L7" t="n">
        <v>0.0464146297775794</v>
      </c>
      <c r="M7" t="inlineStr">
        <is>
          <t>eta/xi</t>
        </is>
      </c>
      <c r="N7" t="n">
        <v>6.418644390026945</v>
      </c>
      <c r="O7" t="n">
        <v>8.147034463213608</v>
      </c>
      <c r="P7" t="n">
        <v>8.278109945969447e-06</v>
      </c>
      <c r="Q7" t="n">
        <v>9.096379436890345e-05</v>
      </c>
      <c r="R7" t="n">
        <v>6.418724186750915</v>
      </c>
      <c r="S7" t="n">
        <v>8.146953355831513</v>
      </c>
      <c r="T7" t="n">
        <v>6.418590305063923</v>
      </c>
      <c r="U7" t="n">
        <v>8.146804210158322</v>
      </c>
      <c r="V7" t="n">
        <v>0.02312569840963145</v>
      </c>
      <c r="W7" t="n">
        <v>0.05401434101004647</v>
      </c>
      <c r="X7" t="n">
        <v>0.54530039166697</v>
      </c>
      <c r="Y7" t="n">
        <v>0.6062558839635056</v>
      </c>
      <c r="Z7" t="n">
        <v>0.6207082584606116</v>
      </c>
      <c r="AA7" t="n">
        <v>0.5785730984651416</v>
      </c>
      <c r="AB7" t="n">
        <v>0.5751722414765857</v>
      </c>
      <c r="AC7" t="n">
        <v>0.001649992085468885</v>
      </c>
      <c r="AD7" t="n">
        <v>18</v>
      </c>
      <c r="AE7" t="n">
        <v>0.2900452986834756</v>
      </c>
      <c r="AF7" t="n">
        <v>32.8487414574718</v>
      </c>
      <c r="AG7" t="n">
        <v>289.8591233333953</v>
      </c>
      <c r="AH7" t="n">
        <v>30.63296862557429</v>
      </c>
    </row>
    <row r="8">
      <c r="A8" t="n">
        <v>26.5</v>
      </c>
      <c r="B8" t="n">
        <v>2</v>
      </c>
      <c r="C8" t="inlineStr">
        <is>
          <t>26.5_2.txt</t>
        </is>
      </c>
      <c r="D8" t="n">
        <v>119.3839424040827</v>
      </c>
      <c r="E8" t="n">
        <v>10.90598931297711</v>
      </c>
      <c r="F8" t="n">
        <v>1303</v>
      </c>
      <c r="G8" t="n">
        <v>0.067</v>
      </c>
      <c r="H8" t="n">
        <v>0.042</v>
      </c>
      <c r="I8" t="n">
        <v>0.067</v>
      </c>
      <c r="K8" t="n">
        <v>0.09169273610144599</v>
      </c>
      <c r="L8" t="n">
        <v>0.04584636805072299</v>
      </c>
      <c r="M8" t="inlineStr">
        <is>
          <t>eta/xi</t>
        </is>
      </c>
      <c r="N8" t="n">
        <v>6.419208247588814</v>
      </c>
      <c r="O8" t="n">
        <v>8.147770110913784</v>
      </c>
      <c r="P8" t="n">
        <v>6.46470892418094e-06</v>
      </c>
      <c r="Q8" t="n">
        <v>6.956210925501694e-05</v>
      </c>
      <c r="R8" t="n">
        <v>6.419180452641153</v>
      </c>
      <c r="S8" t="n">
        <v>8.147579336664981</v>
      </c>
      <c r="T8" t="n">
        <v>6.419211087640978</v>
      </c>
      <c r="U8" t="n">
        <v>8.147681912073372</v>
      </c>
      <c r="V8" t="n">
        <v>0.02226726358118794</v>
      </c>
      <c r="W8" t="n">
        <v>0.05223078856125712</v>
      </c>
      <c r="X8" t="n">
        <v>0.5321839903323045</v>
      </c>
      <c r="Y8" t="n">
        <v>0.5967962822887914</v>
      </c>
      <c r="Z8" t="n">
        <v>0.6207052178299152</v>
      </c>
      <c r="AA8" t="n">
        <v>0.5785155979760265</v>
      </c>
      <c r="AB8" t="n">
        <v>0.5725005142627566</v>
      </c>
      <c r="AC8" t="n">
        <v>0.00218427833530603</v>
      </c>
      <c r="AD8" t="n">
        <v>19</v>
      </c>
      <c r="AE8" t="n">
        <v>0.309196617561395</v>
      </c>
      <c r="AF8" t="n">
        <v>25.62410705510456</v>
      </c>
      <c r="AG8" t="n">
        <v>28.99590858362691</v>
      </c>
      <c r="AH8" t="n">
        <v>3.086830098865573</v>
      </c>
    </row>
    <row r="9">
      <c r="A9" t="n">
        <v>26.5</v>
      </c>
      <c r="B9" t="n">
        <v>3</v>
      </c>
      <c r="C9" t="inlineStr">
        <is>
          <t>26.5_3.txt</t>
        </is>
      </c>
      <c r="D9" t="n">
        <v>119.3825356229448</v>
      </c>
      <c r="E9" t="n">
        <v>10.78047130833972</v>
      </c>
      <c r="F9" t="n">
        <v>1288</v>
      </c>
      <c r="G9" t="n">
        <v>0.168</v>
      </c>
      <c r="H9" t="n">
        <v>0.101</v>
      </c>
      <c r="I9" t="n">
        <v>0.168</v>
      </c>
      <c r="K9" t="n">
        <v>0.09276032293935102</v>
      </c>
      <c r="L9" t="n">
        <v>0.04638016146967551</v>
      </c>
      <c r="M9" t="inlineStr">
        <is>
          <t>eta/xi</t>
        </is>
      </c>
      <c r="N9" t="n">
        <v>6.420139737277909</v>
      </c>
      <c r="O9" t="n">
        <v>8.146732841160881</v>
      </c>
      <c r="P9" t="n">
        <v>7.313188418223149e-05</v>
      </c>
      <c r="Q9" t="n">
        <v>0.0001425939805033138</v>
      </c>
      <c r="R9" t="n">
        <v>6.420024177860627</v>
      </c>
      <c r="S9" t="n">
        <v>8.14642047874778</v>
      </c>
      <c r="T9" t="n">
        <v>6.419991513810297</v>
      </c>
      <c r="U9" t="n">
        <v>8.146517934460018</v>
      </c>
      <c r="V9" t="n">
        <v>0.02126628838368316</v>
      </c>
      <c r="W9" t="n">
        <v>0.06067535697576202</v>
      </c>
      <c r="X9" t="n">
        <v>0.5283646235638969</v>
      </c>
      <c r="Y9" t="n">
        <v>0.5905640231225452</v>
      </c>
      <c r="Z9" t="n">
        <v>0.6210434881978444</v>
      </c>
      <c r="AA9" t="n">
        <v>0.5791752542918643</v>
      </c>
      <c r="AB9" t="n">
        <v>0.5758578343333469</v>
      </c>
      <c r="AC9" t="n">
        <v>0.001757485146863918</v>
      </c>
      <c r="AD9" t="n">
        <v>18</v>
      </c>
      <c r="AE9" t="n">
        <v>0.3217284671375684</v>
      </c>
      <c r="AF9" t="n">
        <v>34.65650015875542</v>
      </c>
      <c r="AG9" t="n">
        <v>28.62547626604924</v>
      </c>
      <c r="AH9" t="n">
        <v>2.723615595458217</v>
      </c>
    </row>
    <row r="10">
      <c r="A10" t="n">
        <v>26.5</v>
      </c>
      <c r="B10" t="n">
        <v>4</v>
      </c>
      <c r="C10" t="inlineStr">
        <is>
          <t>26.5_4.txt</t>
        </is>
      </c>
      <c r="D10" t="n">
        <v>119.3852346537371</v>
      </c>
      <c r="E10" t="n">
        <v>10.65458390804601</v>
      </c>
      <c r="F10" t="n">
        <v>1273</v>
      </c>
      <c r="G10" t="n">
        <v>0.276</v>
      </c>
      <c r="H10" t="n">
        <v>0.193</v>
      </c>
      <c r="I10" t="n">
        <v>0.276</v>
      </c>
      <c r="K10" t="n">
        <v>0.09385631655167979</v>
      </c>
      <c r="L10" t="n">
        <v>0.0469281582758399</v>
      </c>
      <c r="M10" t="inlineStr">
        <is>
          <t>eta/xi</t>
        </is>
      </c>
      <c r="N10" t="n">
        <v>6.419934090770328</v>
      </c>
      <c r="O10" t="n">
        <v>8.147557115722323</v>
      </c>
      <c r="P10" t="n">
        <v>2.79344745961474e-05</v>
      </c>
      <c r="Q10" t="n">
        <v>3.262528135827836e-05</v>
      </c>
      <c r="R10" t="n">
        <v>6.419856710687475</v>
      </c>
      <c r="S10" t="n">
        <v>8.147391846210532</v>
      </c>
      <c r="T10" t="n">
        <v>6.419901882365684</v>
      </c>
      <c r="U10" t="n">
        <v>8.14758779632143</v>
      </c>
      <c r="V10" t="n">
        <v>0.01856827834168238</v>
      </c>
      <c r="W10" t="n">
        <v>0.06250412453435945</v>
      </c>
      <c r="X10" t="n">
        <v>0.5409270730202667</v>
      </c>
      <c r="Y10" t="n">
        <v>0.6021656978000555</v>
      </c>
      <c r="Z10" t="n">
        <v>0.6208780575336132</v>
      </c>
      <c r="AA10" t="n">
        <v>0.5788299794324554</v>
      </c>
      <c r="AB10" t="n">
        <v>0.5768293916784315</v>
      </c>
      <c r="AC10" t="n">
        <v>0.001770146103701177</v>
      </c>
      <c r="AD10" t="n">
        <v>18</v>
      </c>
      <c r="AE10" t="n">
        <v>0.3156361016616943</v>
      </c>
      <c r="AF10" t="n">
        <v>32.18533962764781</v>
      </c>
      <c r="AG10" t="n">
        <v>28.6581046598538</v>
      </c>
      <c r="AH10" t="n">
        <v>2.879909712404249</v>
      </c>
    </row>
    <row r="11">
      <c r="A11" t="n">
        <v>26.5</v>
      </c>
      <c r="B11" t="n">
        <v>5</v>
      </c>
      <c r="C11" t="inlineStr">
        <is>
          <t>26.5_5.txt</t>
        </is>
      </c>
      <c r="D11" t="n">
        <v>119.3825356229448</v>
      </c>
      <c r="E11" t="n">
        <v>10.57943687834733</v>
      </c>
      <c r="F11" t="n">
        <v>1264</v>
      </c>
      <c r="G11" t="n">
        <v>0.369</v>
      </c>
      <c r="H11" t="n">
        <v>0.302</v>
      </c>
      <c r="I11" t="n">
        <v>0.369</v>
      </c>
      <c r="K11" t="n">
        <v>0.09452298940850766</v>
      </c>
      <c r="L11" t="n">
        <v>0.04726149470425383</v>
      </c>
      <c r="M11" t="inlineStr">
        <is>
          <t>eta/xi</t>
        </is>
      </c>
      <c r="N11" t="n">
        <v>6.420076607543871</v>
      </c>
      <c r="O11" t="n">
        <v>8.146164705386596</v>
      </c>
      <c r="P11" t="n">
        <v>7.415059690085712e-05</v>
      </c>
      <c r="Q11" t="n">
        <v>4.788370609443149e-05</v>
      </c>
      <c r="R11" t="n">
        <v>6.419878496964896</v>
      </c>
      <c r="S11" t="n">
        <v>8.146006103910642</v>
      </c>
      <c r="T11" t="n">
        <v>6.41998017242385</v>
      </c>
      <c r="U11" t="n">
        <v>8.146131256400761</v>
      </c>
      <c r="V11" t="n">
        <v>0.006526753423477126</v>
      </c>
      <c r="W11" t="n">
        <v>0.06875134369153391</v>
      </c>
      <c r="X11" t="n">
        <v>0.512246272207578</v>
      </c>
      <c r="Y11" t="n">
        <v>0.5715624684044047</v>
      </c>
      <c r="Z11" t="n">
        <v>0.6211179025750018</v>
      </c>
      <c r="AA11" t="n">
        <v>0.5793447050876522</v>
      </c>
      <c r="AB11" t="n">
        <v>0.5775772077477533</v>
      </c>
      <c r="AC11" t="n">
        <v>0.001771620803066605</v>
      </c>
      <c r="AD11" t="n">
        <v>18</v>
      </c>
      <c r="AE11" t="n">
        <v>0.3333911441853528</v>
      </c>
      <c r="AF11" t="n">
        <v>34.29795333066144</v>
      </c>
      <c r="AG11" t="n">
        <v>28.75811838987703</v>
      </c>
      <c r="AH11" t="n">
        <v>2.757038610606354</v>
      </c>
    </row>
    <row r="12">
      <c r="A12" t="n">
        <v>28.5</v>
      </c>
      <c r="B12" t="n">
        <v>1</v>
      </c>
      <c r="C12" t="inlineStr">
        <is>
          <t>28.5_1.txt</t>
        </is>
      </c>
      <c r="D12" t="n">
        <v>119.3866374589266</v>
      </c>
      <c r="E12" t="n">
        <v>10.66283486238535</v>
      </c>
      <c r="F12" t="n">
        <v>1274</v>
      </c>
      <c r="G12" t="n">
        <v>0.293</v>
      </c>
      <c r="H12" t="n">
        <v>0.243</v>
      </c>
      <c r="I12" t="n">
        <v>0.293</v>
      </c>
      <c r="K12" t="n">
        <v>0.09378369006985571</v>
      </c>
      <c r="L12" t="n">
        <v>0.04689184503492785</v>
      </c>
      <c r="M12" t="inlineStr">
        <is>
          <t>eta/xi</t>
        </is>
      </c>
      <c r="N12" t="n">
        <v>6.405934114375643</v>
      </c>
      <c r="O12" t="n">
        <v>7.789969525497994</v>
      </c>
      <c r="P12" t="n">
        <v>7.289798640375267e-05</v>
      </c>
      <c r="Q12" t="n">
        <v>2.257128391791596e-05</v>
      </c>
      <c r="R12" t="n">
        <v>6.406017180294723</v>
      </c>
      <c r="S12" t="n">
        <v>7.789875426671341</v>
      </c>
      <c r="T12" t="n">
        <v>6.40604187074035</v>
      </c>
      <c r="U12" t="n">
        <v>7.79005783713562</v>
      </c>
      <c r="V12" t="n">
        <v>0.03054176209303961</v>
      </c>
      <c r="W12" t="n">
        <v>0.07089735228179361</v>
      </c>
      <c r="X12" t="n">
        <v>0.5366318837075018</v>
      </c>
      <c r="Y12" t="n">
        <v>0.6358047079365374</v>
      </c>
      <c r="Z12" t="n">
        <v>0.6762284180771894</v>
      </c>
      <c r="AA12" t="n">
        <v>0.7225248660285891</v>
      </c>
      <c r="AB12" t="n">
        <v>0.7189127129751</v>
      </c>
      <c r="AC12" t="n">
        <v>0.00265859303450843</v>
      </c>
      <c r="AD12" t="n">
        <v>14</v>
      </c>
      <c r="AE12" t="n">
        <v>0.2699245972738386</v>
      </c>
      <c r="AF12" t="n">
        <v>27.73592173938208</v>
      </c>
      <c r="AG12" t="n">
        <v>30.62499011330911</v>
      </c>
      <c r="AH12" t="n">
        <v>2.798389661697258</v>
      </c>
    </row>
    <row r="13">
      <c r="A13" t="n">
        <v>28.5</v>
      </c>
      <c r="B13" t="n">
        <v>2</v>
      </c>
      <c r="C13" t="inlineStr">
        <is>
          <t>28.5_2.txt</t>
        </is>
      </c>
      <c r="D13" t="n">
        <v>119.3866374589266</v>
      </c>
      <c r="E13" t="n">
        <v>10.72984403669724</v>
      </c>
      <c r="F13" t="n">
        <v>1282</v>
      </c>
      <c r="G13" t="n">
        <v>0.226</v>
      </c>
      <c r="H13" t="n">
        <v>0.159</v>
      </c>
      <c r="I13" t="n">
        <v>0.226</v>
      </c>
      <c r="K13" t="n">
        <v>0.0931979995776165</v>
      </c>
      <c r="L13" t="n">
        <v>0.04659899978880825</v>
      </c>
      <c r="M13" t="inlineStr">
        <is>
          <t>eta/xi</t>
        </is>
      </c>
      <c r="N13" t="n">
        <v>6.405847550953288</v>
      </c>
      <c r="O13" t="n">
        <v>7.791607409894092</v>
      </c>
      <c r="P13" t="n">
        <v>2.690870986699068e-05</v>
      </c>
      <c r="Q13" t="n">
        <v>6.108357027079236e-05</v>
      </c>
      <c r="R13" t="n">
        <v>6.405793628417861</v>
      </c>
      <c r="S13" t="n">
        <v>7.791389772542724</v>
      </c>
      <c r="T13" t="n">
        <v>6.405792254771949</v>
      </c>
      <c r="U13" t="n">
        <v>7.791609625554926</v>
      </c>
      <c r="V13" t="n">
        <v>0.03343533223782354</v>
      </c>
      <c r="W13" t="n">
        <v>0.07097240770500121</v>
      </c>
      <c r="X13" t="n">
        <v>0.5269661696702775</v>
      </c>
      <c r="Y13" t="n">
        <v>0.6238556217365985</v>
      </c>
      <c r="Z13" t="n">
        <v>0.6759258782166511</v>
      </c>
      <c r="AA13" t="n">
        <v>0.7216257517838214</v>
      </c>
      <c r="AB13" t="n">
        <v>0.7102849298434963</v>
      </c>
      <c r="AC13" t="n">
        <v>0.003096778214568848</v>
      </c>
      <c r="AD13" t="n">
        <v>15</v>
      </c>
      <c r="AE13" t="n">
        <v>0.3012391179002331</v>
      </c>
      <c r="AF13" t="n">
        <v>22.92996541911727</v>
      </c>
      <c r="AG13" t="n">
        <v>30.59106640462081</v>
      </c>
      <c r="AH13" t="n">
        <v>2.775380669278805</v>
      </c>
    </row>
    <row r="14">
      <c r="A14" t="n">
        <v>28.5</v>
      </c>
      <c r="B14" t="n">
        <v>3</v>
      </c>
      <c r="C14" t="inlineStr">
        <is>
          <t>28.5_3.txt</t>
        </is>
      </c>
      <c r="D14" t="n">
        <v>119.3866374589266</v>
      </c>
      <c r="E14" t="n">
        <v>10.66283486238535</v>
      </c>
      <c r="F14" t="n">
        <v>1274</v>
      </c>
      <c r="G14" t="n">
        <v>0.293</v>
      </c>
      <c r="H14" t="n">
        <v>0.201</v>
      </c>
      <c r="I14" t="n">
        <v>0.293</v>
      </c>
      <c r="K14" t="n">
        <v>0.09378369006985571</v>
      </c>
      <c r="L14" t="n">
        <v>0.04689184503492785</v>
      </c>
      <c r="M14" t="inlineStr">
        <is>
          <t>eta/xi</t>
        </is>
      </c>
      <c r="N14" t="n">
        <v>6.406787881808524</v>
      </c>
      <c r="O14" t="n">
        <v>7.794130267109352</v>
      </c>
      <c r="P14" t="n">
        <v>3.850094521462566e-05</v>
      </c>
      <c r="Q14" t="n">
        <v>4.773552241754686e-05</v>
      </c>
      <c r="R14" t="n">
        <v>6.406696744141301</v>
      </c>
      <c r="S14" t="n">
        <v>7.793971294245523</v>
      </c>
      <c r="T14" t="n">
        <v>6.406725687114174</v>
      </c>
      <c r="U14" t="n">
        <v>7.794091895929305</v>
      </c>
      <c r="V14" t="n">
        <v>0.03501705670312404</v>
      </c>
      <c r="W14" t="n">
        <v>0.06401012408386415</v>
      </c>
      <c r="X14" t="n">
        <v>0.5531911895457841</v>
      </c>
      <c r="Y14" t="n">
        <v>0.6503550346455685</v>
      </c>
      <c r="Z14" t="n">
        <v>0.675686700354047</v>
      </c>
      <c r="AA14" t="n">
        <v>0.7208026011424439</v>
      </c>
      <c r="AB14" t="n">
        <v>0.7164896133682848</v>
      </c>
      <c r="AC14" t="n">
        <v>0.003113606345272941</v>
      </c>
      <c r="AD14" t="n">
        <v>14</v>
      </c>
      <c r="AE14" t="n">
        <v>0.2888477194928499</v>
      </c>
      <c r="AF14" t="n">
        <v>27.97573856427429</v>
      </c>
      <c r="AG14" t="n">
        <v>30.507688840394</v>
      </c>
      <c r="AH14" t="n">
        <v>2.861943473496416</v>
      </c>
    </row>
    <row r="15">
      <c r="A15" t="n">
        <v>28.5</v>
      </c>
      <c r="B15" t="n">
        <v>4</v>
      </c>
      <c r="C15" t="inlineStr">
        <is>
          <t>28.5_4.txt</t>
        </is>
      </c>
      <c r="D15" t="n">
        <v>119.3825356229448</v>
      </c>
      <c r="E15" t="n">
        <v>10.83072991583778</v>
      </c>
      <c r="F15" t="n">
        <v>1294</v>
      </c>
      <c r="G15" t="n">
        <v>0.117</v>
      </c>
      <c r="H15" t="n">
        <v>0.059</v>
      </c>
      <c r="I15" t="n">
        <v>0.117</v>
      </c>
      <c r="K15" t="n">
        <v>0.09232988060552588</v>
      </c>
      <c r="L15" t="n">
        <v>0.04616494030276294</v>
      </c>
      <c r="M15" t="inlineStr">
        <is>
          <t>eta/xi</t>
        </is>
      </c>
      <c r="N15" t="n">
        <v>6.406058519239305</v>
      </c>
      <c r="O15" t="n">
        <v>7.794845038477285</v>
      </c>
      <c r="P15" t="n">
        <v>5.745736139539659e-05</v>
      </c>
      <c r="Q15" t="n">
        <v>6.671761588572522e-05</v>
      </c>
      <c r="R15" t="n">
        <v>6.406097490686142</v>
      </c>
      <c r="S15" t="n">
        <v>7.794658315294612</v>
      </c>
      <c r="T15" t="n">
        <v>6.40623123261855</v>
      </c>
      <c r="U15" t="n">
        <v>7.794804835190837</v>
      </c>
      <c r="V15" t="n">
        <v>0.02470329991627786</v>
      </c>
      <c r="W15" t="n">
        <v>0.07271805820870024</v>
      </c>
      <c r="X15" t="n">
        <v>0.5709795415809974</v>
      </c>
      <c r="Y15" t="n">
        <v>0.6715828989355203</v>
      </c>
      <c r="Z15" t="n">
        <v>0.6754089815568505</v>
      </c>
      <c r="AA15" t="n">
        <v>0.7200530723387887</v>
      </c>
      <c r="AB15" t="n">
        <v>0.7123664881407796</v>
      </c>
      <c r="AC15" t="n">
        <v>0.002834582679976568</v>
      </c>
      <c r="AD15" t="n">
        <v>15</v>
      </c>
      <c r="AE15" t="n">
        <v>0.2710643327559677</v>
      </c>
      <c r="AF15" t="n">
        <v>29.80915708461523</v>
      </c>
      <c r="AG15" t="n">
        <v>30.5112570660627</v>
      </c>
      <c r="AH15" t="n">
        <v>3.036917268660204</v>
      </c>
    </row>
    <row r="16">
      <c r="A16" t="n">
        <v>28.5</v>
      </c>
      <c r="B16" t="n">
        <v>5</v>
      </c>
      <c r="C16" t="inlineStr">
        <is>
          <t>28.5_5.txt</t>
        </is>
      </c>
      <c r="D16" t="n">
        <v>119.3798449612403</v>
      </c>
      <c r="E16" t="n">
        <v>10.81422077922077</v>
      </c>
      <c r="F16" t="n">
        <v>1292</v>
      </c>
      <c r="G16" t="n">
        <v>0.151</v>
      </c>
      <c r="H16" t="n">
        <v>0.08400000000000001</v>
      </c>
      <c r="I16" t="n">
        <v>0.151</v>
      </c>
      <c r="K16" t="n">
        <v>0.09247083265781594</v>
      </c>
      <c r="L16" t="n">
        <v>0.04623541632890797</v>
      </c>
      <c r="M16" t="inlineStr">
        <is>
          <t>eta/xi</t>
        </is>
      </c>
      <c r="N16" t="n">
        <v>6.406548919304272</v>
      </c>
      <c r="O16" t="n">
        <v>7.79513670606318</v>
      </c>
      <c r="P16" t="n">
        <v>1.540792841847605e-05</v>
      </c>
      <c r="Q16" t="n">
        <v>4.041504365392967e-05</v>
      </c>
      <c r="R16" t="n">
        <v>6.406604448947934</v>
      </c>
      <c r="S16" t="n">
        <v>7.795021892234393</v>
      </c>
      <c r="T16" t="n">
        <v>6.406482729253263</v>
      </c>
      <c r="U16" t="n">
        <v>7.795083691175232</v>
      </c>
      <c r="V16" t="n">
        <v>0.02570374855322387</v>
      </c>
      <c r="W16" t="n">
        <v>0.07118270735863109</v>
      </c>
      <c r="X16" t="n">
        <v>0.5476226661241198</v>
      </c>
      <c r="Y16" t="n">
        <v>0.6422945521591497</v>
      </c>
      <c r="Z16" t="n">
        <v>0.6754618442428733</v>
      </c>
      <c r="AA16" t="n">
        <v>0.7201561251911139</v>
      </c>
      <c r="AB16" t="n">
        <v>0.7130847020626429</v>
      </c>
      <c r="AC16" t="n">
        <v>0.002484884509805569</v>
      </c>
      <c r="AD16" t="n">
        <v>15</v>
      </c>
      <c r="AE16" t="n">
        <v>0.3012126190940691</v>
      </c>
      <c r="AF16" t="n">
        <v>29.20767216902619</v>
      </c>
      <c r="AG16" t="n">
        <v>30.45745998027433</v>
      </c>
      <c r="AH16" t="n">
        <v>2.942873186327564</v>
      </c>
    </row>
    <row r="17">
      <c r="A17" t="n">
        <v>31</v>
      </c>
      <c r="B17" t="n">
        <v>1</v>
      </c>
      <c r="C17" t="inlineStr">
        <is>
          <t>31.0_1.txt</t>
        </is>
      </c>
      <c r="D17" t="n">
        <v>119.3779681534593</v>
      </c>
      <c r="E17" t="n">
        <v>10.69711622464899</v>
      </c>
      <c r="F17" t="n">
        <v>1278</v>
      </c>
      <c r="G17" t="n">
        <v>0.042</v>
      </c>
      <c r="H17" t="n">
        <v>-0</v>
      </c>
      <c r="I17" t="n">
        <v>0.042</v>
      </c>
      <c r="K17" t="n">
        <v>0.09348313872627984</v>
      </c>
      <c r="L17" t="n">
        <v>0.04674156936313992</v>
      </c>
      <c r="M17" t="inlineStr">
        <is>
          <t>eta/xi</t>
        </is>
      </c>
      <c r="N17" t="n">
        <v>6.41244474145741</v>
      </c>
      <c r="O17" t="n">
        <v>7.516281202943537</v>
      </c>
      <c r="P17" t="n">
        <v>7.517759122110945e-05</v>
      </c>
      <c r="Q17" t="n">
        <v>4.53590092304168e-05</v>
      </c>
      <c r="R17" t="n">
        <v>6.41255666001617</v>
      </c>
      <c r="S17" t="n">
        <v>7.516185572435307</v>
      </c>
      <c r="T17" t="n">
        <v>6.412612057215159</v>
      </c>
      <c r="U17" t="n">
        <v>7.516238708248876</v>
      </c>
      <c r="V17" t="n">
        <v>0.03925664472627938</v>
      </c>
      <c r="W17" t="n">
        <v>0.07915590202464248</v>
      </c>
      <c r="X17" t="n">
        <v>0.5445193991205298</v>
      </c>
      <c r="Y17" t="n">
        <v>0.6600900844929535</v>
      </c>
      <c r="Z17" t="n">
        <v>0.7278489029388818</v>
      </c>
      <c r="AA17" t="n">
        <v>0.9059312995094139</v>
      </c>
      <c r="AB17" t="n">
        <v>0.9012919825883944</v>
      </c>
      <c r="AC17" t="n">
        <v>0.005482165820181691</v>
      </c>
      <c r="AD17" t="n">
        <v>11</v>
      </c>
      <c r="AE17" t="n">
        <v>0.275189910472356</v>
      </c>
      <c r="AF17" t="n">
        <v>28.70672948428558</v>
      </c>
      <c r="AG17" t="n">
        <v>32.0413991125803</v>
      </c>
      <c r="AH17" t="n">
        <v>2.561454114177066</v>
      </c>
    </row>
    <row r="18">
      <c r="A18" t="n">
        <v>31</v>
      </c>
      <c r="B18" t="n">
        <v>2</v>
      </c>
      <c r="C18" t="inlineStr">
        <is>
          <t>31.0_2.txt</t>
        </is>
      </c>
      <c r="D18" t="n">
        <v>119.3825356229448</v>
      </c>
      <c r="E18" t="n">
        <v>10.85585921958685</v>
      </c>
      <c r="F18" t="n">
        <v>1297</v>
      </c>
      <c r="G18" t="n">
        <v>0.092</v>
      </c>
      <c r="H18" t="n">
        <v>0.042</v>
      </c>
      <c r="I18" t="n">
        <v>0.092</v>
      </c>
      <c r="K18" t="n">
        <v>0.09211615403004998</v>
      </c>
      <c r="L18" t="n">
        <v>0.04605807701502499</v>
      </c>
      <c r="M18" t="inlineStr">
        <is>
          <t>eta/xi</t>
        </is>
      </c>
      <c r="N18" t="n">
        <v>6.411240458789369</v>
      </c>
      <c r="O18" t="n">
        <v>7.517696659469822</v>
      </c>
      <c r="P18" t="n">
        <v>5.674297241675674e-05</v>
      </c>
      <c r="Q18" t="n">
        <v>7.21393972527018e-05</v>
      </c>
      <c r="R18" t="n">
        <v>6.411355597138382</v>
      </c>
      <c r="S18" t="n">
        <v>7.517478379199453</v>
      </c>
      <c r="T18" t="n">
        <v>6.411334481576053</v>
      </c>
      <c r="U18" t="n">
        <v>7.517635955827895</v>
      </c>
      <c r="V18" t="n">
        <v>0.03113586453454894</v>
      </c>
      <c r="W18" t="n">
        <v>0.08271078528862398</v>
      </c>
      <c r="X18" t="n">
        <v>0.5772921653897768</v>
      </c>
      <c r="Y18" t="n">
        <v>0.6993693220393227</v>
      </c>
      <c r="Z18" t="n">
        <v>0.7273015879483602</v>
      </c>
      <c r="AA18" t="n">
        <v>0.9037863400151008</v>
      </c>
      <c r="AB18" t="n">
        <v>0.8932408922370672</v>
      </c>
      <c r="AC18" t="n">
        <v>0.004325132948405848</v>
      </c>
      <c r="AD18" t="n">
        <v>12</v>
      </c>
      <c r="AE18" t="n">
        <v>0.2844178130537868</v>
      </c>
      <c r="AF18" t="n">
        <v>26.75214402075297</v>
      </c>
      <c r="AG18" t="n">
        <v>32.15295730272005</v>
      </c>
      <c r="AH18" t="n">
        <v>3.002363594055517</v>
      </c>
    </row>
    <row r="19">
      <c r="A19" t="n">
        <v>31</v>
      </c>
      <c r="B19" t="n">
        <v>3</v>
      </c>
      <c r="C19" t="inlineStr">
        <is>
          <t>31.0_3.txt</t>
        </is>
      </c>
      <c r="D19" t="n">
        <v>119.385154507805</v>
      </c>
      <c r="E19" t="n">
        <v>12.18744496330888</v>
      </c>
      <c r="F19" t="n">
        <v>1456</v>
      </c>
      <c r="G19" t="n">
        <v>0.369</v>
      </c>
      <c r="H19" t="n">
        <v>0.302</v>
      </c>
      <c r="I19" t="n">
        <v>0.369</v>
      </c>
      <c r="K19" t="n">
        <v>0.08205165258268382</v>
      </c>
      <c r="L19" t="n">
        <v>0.04102582629134191</v>
      </c>
      <c r="M19" t="inlineStr">
        <is>
          <t>eta/xi</t>
        </is>
      </c>
      <c r="N19" t="n">
        <v>6.411547806244279</v>
      </c>
      <c r="O19" t="n">
        <v>7.517770971419542</v>
      </c>
      <c r="P19" t="n">
        <v>8.42992621370442e-05</v>
      </c>
      <c r="Q19" t="n">
        <v>5.077298575573153e-05</v>
      </c>
      <c r="R19" t="n">
        <v>6.41172145906744</v>
      </c>
      <c r="S19" t="n">
        <v>7.51767828014435</v>
      </c>
      <c r="T19" t="n">
        <v>6.41165618169731</v>
      </c>
      <c r="U19" t="n">
        <v>7.517660871065232</v>
      </c>
      <c r="V19" t="n">
        <v>0.03836043220374435</v>
      </c>
      <c r="W19" t="n">
        <v>0.08273606228202941</v>
      </c>
      <c r="X19" t="n">
        <v>0.5869013286053024</v>
      </c>
      <c r="Y19" t="n">
        <v>0.7104407563062627</v>
      </c>
      <c r="Z19" t="n">
        <v>0.7273569417896463</v>
      </c>
      <c r="AA19" t="n">
        <v>0.9039767304471215</v>
      </c>
      <c r="AB19" t="n">
        <v>0.89642452330858</v>
      </c>
      <c r="AC19" t="n">
        <v>0.003491244965255745</v>
      </c>
      <c r="AD19" t="n">
        <v>13</v>
      </c>
      <c r="AE19" t="n">
        <v>0.2455635801469191</v>
      </c>
      <c r="AF19" t="n">
        <v>29.84568925581015</v>
      </c>
      <c r="AG19" t="n">
        <v>31.98692884067448</v>
      </c>
      <c r="AH19" t="n">
        <v>3.01455791798699</v>
      </c>
    </row>
    <row r="20">
      <c r="A20" t="n">
        <v>31</v>
      </c>
      <c r="B20" t="n">
        <v>4</v>
      </c>
      <c r="C20" t="inlineStr">
        <is>
          <t>31.0_4.txt</t>
        </is>
      </c>
      <c r="D20" t="n">
        <v>119.3792280143255</v>
      </c>
      <c r="E20" t="n">
        <v>12.44772666666665</v>
      </c>
      <c r="F20" t="n">
        <v>1487</v>
      </c>
      <c r="G20" t="n">
        <v>0.117</v>
      </c>
      <c r="H20" t="n">
        <v>0.059</v>
      </c>
      <c r="I20" t="n">
        <v>0.117</v>
      </c>
      <c r="K20" t="n">
        <v>0.08033595424920972</v>
      </c>
      <c r="L20" t="n">
        <v>0.04016797712460486</v>
      </c>
      <c r="M20" t="inlineStr">
        <is>
          <t>eta/xi</t>
        </is>
      </c>
      <c r="N20" t="n">
        <v>6.408236508958319</v>
      </c>
      <c r="O20" t="n">
        <v>7.517593398617378</v>
      </c>
      <c r="P20" t="n">
        <v>2.341005623396342e-05</v>
      </c>
      <c r="Q20" t="n">
        <v>5.858151651594312e-05</v>
      </c>
      <c r="R20" t="n">
        <v>6.408307157754138</v>
      </c>
      <c r="S20" t="n">
        <v>7.517475372692052</v>
      </c>
      <c r="T20" t="n">
        <v>6.40819195462999</v>
      </c>
      <c r="U20" t="n">
        <v>7.517473363148603</v>
      </c>
      <c r="V20" t="n">
        <v>0.04435448717487366</v>
      </c>
      <c r="W20" t="n">
        <v>0.07425038207123456</v>
      </c>
      <c r="X20" t="n">
        <v>0.5900843576763957</v>
      </c>
      <c r="Y20" t="n">
        <v>0.7258683837918775</v>
      </c>
      <c r="Z20" t="n">
        <v>0.726640163356907</v>
      </c>
      <c r="AA20" t="n">
        <v>0.9014231662700827</v>
      </c>
      <c r="AB20" t="n">
        <v>0.8965978974358968</v>
      </c>
      <c r="AC20" t="n">
        <v>0.003666923796614545</v>
      </c>
      <c r="AD20" t="n">
        <v>13</v>
      </c>
      <c r="AE20" t="n">
        <v>0.2390173578499642</v>
      </c>
      <c r="AF20" t="n">
        <v>27.05572286627378</v>
      </c>
      <c r="AG20" t="n">
        <v>31.89185271954694</v>
      </c>
      <c r="AH20" t="n">
        <v>3.229414362962979</v>
      </c>
    </row>
    <row r="21">
      <c r="A21" t="n">
        <v>31</v>
      </c>
      <c r="B21" t="n">
        <v>5</v>
      </c>
      <c r="C21" t="inlineStr">
        <is>
          <t>31.0_5.txt</t>
        </is>
      </c>
      <c r="D21" t="n">
        <v>119.3781232648529</v>
      </c>
      <c r="E21" t="n">
        <v>12.30543720930231</v>
      </c>
      <c r="F21" t="n">
        <v>1470</v>
      </c>
      <c r="G21" t="n">
        <v>0.302</v>
      </c>
      <c r="H21" t="n">
        <v>0.243</v>
      </c>
      <c r="I21" t="n">
        <v>0.302</v>
      </c>
      <c r="K21" t="n">
        <v>0.08126488990119331</v>
      </c>
      <c r="L21" t="n">
        <v>0.04063244495059665</v>
      </c>
      <c r="M21" t="inlineStr">
        <is>
          <t>eta/xi</t>
        </is>
      </c>
      <c r="N21" t="n">
        <v>6.408194502770441</v>
      </c>
      <c r="O21" t="n">
        <v>7.5174691390196</v>
      </c>
      <c r="P21" t="n">
        <v>3.665570241118132e-05</v>
      </c>
      <c r="Q21" t="n">
        <v>8.869977962788766e-06</v>
      </c>
      <c r="R21" t="n">
        <v>6.40831820095552</v>
      </c>
      <c r="S21" t="n">
        <v>7.517264773925951</v>
      </c>
      <c r="T21" t="n">
        <v>6.408187130166628</v>
      </c>
      <c r="U21" t="n">
        <v>7.517655133450346</v>
      </c>
      <c r="V21" t="n">
        <v>0.046215058871887</v>
      </c>
      <c r="W21" t="n">
        <v>0.07850545955620998</v>
      </c>
      <c r="X21" t="n">
        <v>0.5850891700753027</v>
      </c>
      <c r="Y21" t="n">
        <v>0.7208072322386792</v>
      </c>
      <c r="Z21" t="n">
        <v>0.7266546588926054</v>
      </c>
      <c r="AA21" t="n">
        <v>0.9014900073631409</v>
      </c>
      <c r="AB21" t="n">
        <v>0.8957040838231528</v>
      </c>
      <c r="AC21" t="n">
        <v>0.003750172754334434</v>
      </c>
      <c r="AD21" t="n">
        <v>13</v>
      </c>
      <c r="AE21" t="n">
        <v>0.2408603680837882</v>
      </c>
      <c r="AF21" t="n">
        <v>27.28703174224848</v>
      </c>
      <c r="AG21" t="n">
        <v>32.18857452999073</v>
      </c>
      <c r="AH21" t="n">
        <v>3.19895577761629</v>
      </c>
    </row>
    <row r="22">
      <c r="A22" t="n">
        <v>33.5</v>
      </c>
      <c r="B22" t="n">
        <v>1</v>
      </c>
      <c r="C22" t="inlineStr">
        <is>
          <t>33.5_1.txt</t>
        </is>
      </c>
      <c r="D22" t="n">
        <v>119.3797484120065</v>
      </c>
      <c r="E22" t="n">
        <v>15.8318309859155</v>
      </c>
      <c r="F22" t="n">
        <v>1891</v>
      </c>
      <c r="G22" t="n">
        <v>0.226</v>
      </c>
      <c r="H22" t="n">
        <v>0.159</v>
      </c>
      <c r="I22" t="n">
        <v>0.226</v>
      </c>
      <c r="K22" t="n">
        <v>0.06316388804868066</v>
      </c>
      <c r="L22" t="n">
        <v>0.03158194402434033</v>
      </c>
      <c r="M22" t="inlineStr">
        <is>
          <t>eta/xi</t>
        </is>
      </c>
      <c r="N22" t="n">
        <v>6.404739634017952</v>
      </c>
      <c r="O22" t="n">
        <v>7.208040544027229</v>
      </c>
      <c r="P22" t="n">
        <v>5.708069595877774e-05</v>
      </c>
      <c r="Q22" t="n">
        <v>2.252750673470416e-05</v>
      </c>
      <c r="R22" t="n">
        <v>6.404843565477112</v>
      </c>
      <c r="S22" t="n">
        <v>7.207895246539127</v>
      </c>
      <c r="T22" t="n">
        <v>6.404822913311921</v>
      </c>
      <c r="U22" t="n">
        <v>7.208087346678991</v>
      </c>
      <c r="V22" t="n">
        <v>0.06840650996649018</v>
      </c>
      <c r="W22" t="n">
        <v>0.09559148567179893</v>
      </c>
      <c r="X22" t="n">
        <v>0.5729117629157392</v>
      </c>
      <c r="Y22" t="n">
        <v>0.7793553977503247</v>
      </c>
      <c r="Z22" t="n">
        <v>0.7895297830026619</v>
      </c>
      <c r="AA22" t="n">
        <v>1.244863521925366</v>
      </c>
      <c r="AB22" t="n">
        <v>1.238360499177401</v>
      </c>
      <c r="AC22" t="n">
        <v>0.006343987010075536</v>
      </c>
      <c r="AD22" t="n">
        <v>12</v>
      </c>
      <c r="AE22" t="n">
        <v>0.243704107864997</v>
      </c>
      <c r="AF22" t="n">
        <v>29.68263402725825</v>
      </c>
      <c r="AG22" t="n">
        <v>34.47204306907188</v>
      </c>
      <c r="AH22" t="n">
        <v>2.196536876358459</v>
      </c>
    </row>
    <row r="23">
      <c r="A23" t="n">
        <v>33.5</v>
      </c>
      <c r="B23" t="n">
        <v>2</v>
      </c>
      <c r="C23" t="inlineStr">
        <is>
          <t>33.5_2.txt</t>
        </is>
      </c>
      <c r="D23" t="n">
        <v>119.3828823313334</v>
      </c>
      <c r="E23" t="n">
        <v>16.00732000000005</v>
      </c>
      <c r="F23" t="n">
        <v>1912</v>
      </c>
      <c r="G23" t="n">
        <v>0.327</v>
      </c>
      <c r="H23" t="n">
        <v>0.26</v>
      </c>
      <c r="I23" t="n">
        <v>0.327</v>
      </c>
      <c r="K23" t="n">
        <v>0.06247141932565832</v>
      </c>
      <c r="L23" t="n">
        <v>0.03123570966282916</v>
      </c>
      <c r="M23" t="inlineStr">
        <is>
          <t>eta/xi</t>
        </is>
      </c>
      <c r="N23" t="n">
        <v>6.404666983702457</v>
      </c>
      <c r="O23" t="n">
        <v>7.209867817456002</v>
      </c>
      <c r="P23" t="n">
        <v>6.179519312254911e-06</v>
      </c>
      <c r="Q23" t="n">
        <v>3.709517031813547e-05</v>
      </c>
      <c r="R23" t="n">
        <v>6.404697407805939</v>
      </c>
      <c r="S23" t="n">
        <v>7.209706572986936</v>
      </c>
      <c r="T23" t="n">
        <v>6.404631624952258</v>
      </c>
      <c r="U23" t="n">
        <v>7.209872447392304</v>
      </c>
      <c r="V23" t="n">
        <v>0.0649540285538639</v>
      </c>
      <c r="W23" t="n">
        <v>0.0925956765261248</v>
      </c>
      <c r="X23" t="n">
        <v>0.5672952017168645</v>
      </c>
      <c r="Y23" t="n">
        <v>0.7647831085449546</v>
      </c>
      <c r="Z23" t="n">
        <v>0.789111733440518</v>
      </c>
      <c r="AA23" t="n">
        <v>1.241926185469001</v>
      </c>
      <c r="AB23" t="n">
        <v>1.22667465539589</v>
      </c>
      <c r="AC23" t="n">
        <v>0.006388579001447808</v>
      </c>
      <c r="AD23" t="n">
        <v>13</v>
      </c>
      <c r="AE23" t="n">
        <v>0.2364072206416282</v>
      </c>
      <c r="AF23" t="n">
        <v>25.37875103097955</v>
      </c>
      <c r="AG23" t="n">
        <v>34.45222358479693</v>
      </c>
      <c r="AH23" t="n">
        <v>2.627114398717946</v>
      </c>
    </row>
    <row r="24">
      <c r="A24" t="n">
        <v>33.5</v>
      </c>
      <c r="B24" t="n">
        <v>3</v>
      </c>
      <c r="C24" t="inlineStr">
        <is>
          <t>33.5_3.txt</t>
        </is>
      </c>
      <c r="D24" t="n">
        <v>119.382107887855</v>
      </c>
      <c r="E24" t="n">
        <v>15.90690626591948</v>
      </c>
      <c r="F24" t="n">
        <v>1900</v>
      </c>
      <c r="G24" t="n">
        <v>0.536</v>
      </c>
      <c r="H24" t="n">
        <v>0.461</v>
      </c>
      <c r="I24" t="n">
        <v>0.536</v>
      </c>
      <c r="K24" t="n">
        <v>0.06286577561235135</v>
      </c>
      <c r="L24" t="n">
        <v>0.03143288780617567</v>
      </c>
      <c r="M24" t="inlineStr">
        <is>
          <t>eta/xi</t>
        </is>
      </c>
      <c r="N24" t="n">
        <v>6.402550127426185</v>
      </c>
      <c r="O24" t="n">
        <v>7.210632534352987</v>
      </c>
      <c r="P24" t="n">
        <v>2.797923542408043e-05</v>
      </c>
      <c r="Q24" t="n">
        <v>0.0001080601502061462</v>
      </c>
      <c r="R24" t="n">
        <v>6.402547085967319</v>
      </c>
      <c r="S24" t="n">
        <v>7.210445517426171</v>
      </c>
      <c r="T24" t="n">
        <v>6.40264577338371</v>
      </c>
      <c r="U24" t="n">
        <v>7.210434448522191</v>
      </c>
      <c r="V24" t="n">
        <v>0.06777818504760497</v>
      </c>
      <c r="W24" t="n">
        <v>0.08980882802039691</v>
      </c>
      <c r="X24" t="n">
        <v>0.574949081120195</v>
      </c>
      <c r="Y24" t="n">
        <v>0.7803451349934928</v>
      </c>
      <c r="Z24" t="n">
        <v>0.7884229312152861</v>
      </c>
      <c r="AA24" t="n">
        <v>1.237497551522096</v>
      </c>
      <c r="AB24" t="n">
        <v>1.224657533602412</v>
      </c>
      <c r="AC24" t="n">
        <v>0.005908125348152173</v>
      </c>
      <c r="AD24" t="n">
        <v>13</v>
      </c>
      <c r="AE24" t="n">
        <v>0.2621627588042028</v>
      </c>
      <c r="AF24" t="n">
        <v>22.53347021831813</v>
      </c>
      <c r="AG24" t="n">
        <v>34.31702564000912</v>
      </c>
      <c r="AH24" t="n">
        <v>2.993365933095571</v>
      </c>
    </row>
    <row r="25">
      <c r="A25" t="n">
        <v>33.5</v>
      </c>
      <c r="B25" t="n">
        <v>4</v>
      </c>
      <c r="C25" t="inlineStr">
        <is>
          <t>33.5_4.txt</t>
        </is>
      </c>
      <c r="D25" t="n">
        <v>119.383045907214</v>
      </c>
      <c r="E25" t="n">
        <v>16.10781485249242</v>
      </c>
      <c r="F25" t="n">
        <v>1924</v>
      </c>
      <c r="G25" t="n">
        <v>0.36</v>
      </c>
      <c r="H25" t="n">
        <v>0.293</v>
      </c>
      <c r="I25" t="n">
        <v>0.36</v>
      </c>
      <c r="K25" t="n">
        <v>0.06208166713843662</v>
      </c>
      <c r="L25" t="n">
        <v>0.03104083356921831</v>
      </c>
      <c r="M25" t="inlineStr">
        <is>
          <t>eta/xi</t>
        </is>
      </c>
      <c r="N25" t="n">
        <v>6.403289124033514</v>
      </c>
      <c r="O25" t="n">
        <v>7.211082456546949</v>
      </c>
      <c r="P25" t="n">
        <v>4.044149524329299e-05</v>
      </c>
      <c r="Q25" t="n">
        <v>0.0001387410312871928</v>
      </c>
      <c r="R25" t="n">
        <v>6.403393818091815</v>
      </c>
      <c r="S25" t="n">
        <v>7.210709785782313</v>
      </c>
      <c r="T25" t="n">
        <v>6.403289794799568</v>
      </c>
      <c r="U25" t="n">
        <v>7.210949256346317</v>
      </c>
      <c r="V25" t="n">
        <v>0.06029845343428798</v>
      </c>
      <c r="W25" t="n">
        <v>0.09694237860540172</v>
      </c>
      <c r="X25" t="n">
        <v>0.5848016488952755</v>
      </c>
      <c r="Y25" t="n">
        <v>0.7931592913523383</v>
      </c>
      <c r="Z25" t="n">
        <v>0.7885065407501914</v>
      </c>
      <c r="AA25" t="n">
        <v>1.23794039855283</v>
      </c>
      <c r="AB25" t="n">
        <v>1.234552312387515</v>
      </c>
      <c r="AC25" t="n">
        <v>0.005324978466279113</v>
      </c>
      <c r="AD25" t="n">
        <v>13</v>
      </c>
      <c r="AE25" t="n">
        <v>0.2527805885046275</v>
      </c>
      <c r="AF25" t="n">
        <v>23.62066224589422</v>
      </c>
      <c r="AG25" t="n">
        <v>34.53569129537553</v>
      </c>
      <c r="AH25" t="n">
        <v>2.932571450209118</v>
      </c>
    </row>
    <row r="26">
      <c r="A26" t="n">
        <v>33.5</v>
      </c>
      <c r="B26" t="n">
        <v>5</v>
      </c>
      <c r="C26" t="inlineStr">
        <is>
          <t>33.5_5.txt</t>
        </is>
      </c>
      <c r="D26" t="n">
        <v>119.3793732887131</v>
      </c>
      <c r="E26" t="n">
        <v>16.23396024464831</v>
      </c>
      <c r="F26" t="n">
        <v>1939</v>
      </c>
      <c r="G26" t="n">
        <v>0.201</v>
      </c>
      <c r="H26" t="n">
        <v>0.134</v>
      </c>
      <c r="I26" t="n">
        <v>0.201</v>
      </c>
      <c r="K26" t="n">
        <v>0.06159926382286542</v>
      </c>
      <c r="L26" t="n">
        <v>0.03079963191143271</v>
      </c>
      <c r="M26" t="inlineStr">
        <is>
          <t>eta/xi</t>
        </is>
      </c>
      <c r="N26" t="n">
        <v>6.403276557415245</v>
      </c>
      <c r="O26" t="n">
        <v>7.21019716870445</v>
      </c>
      <c r="P26" t="n">
        <v>4.502873113665373e-05</v>
      </c>
      <c r="Q26" t="n">
        <v>0.0001485521314101845</v>
      </c>
      <c r="R26" t="n">
        <v>6.403165946761346</v>
      </c>
      <c r="S26" t="n">
        <v>7.209863214613724</v>
      </c>
      <c r="T26" t="n">
        <v>6.403231092400578</v>
      </c>
      <c r="U26" t="n">
        <v>7.210005437584872</v>
      </c>
      <c r="V26" t="n">
        <v>0.05436209167365605</v>
      </c>
      <c r="W26" t="n">
        <v>0.1032391380127187</v>
      </c>
      <c r="X26" t="n">
        <v>0.5610484778349182</v>
      </c>
      <c r="Y26" t="n">
        <v>0.7596241051633665</v>
      </c>
      <c r="Z26" t="n">
        <v>0.7886970869562442</v>
      </c>
      <c r="AA26" t="n">
        <v>1.239279287218</v>
      </c>
      <c r="AB26" t="n">
        <v>1.233062243057655</v>
      </c>
      <c r="AC26" t="n">
        <v>0.003807833995741385</v>
      </c>
      <c r="AD26" t="n">
        <v>13</v>
      </c>
      <c r="AE26" t="n">
        <v>0.2645309842460877</v>
      </c>
      <c r="AF26" t="n">
        <v>25.23331336370273</v>
      </c>
      <c r="AG26" t="n">
        <v>34.5611390753921</v>
      </c>
      <c r="AH26" t="n">
        <v>2.693170669243401</v>
      </c>
    </row>
    <row r="27">
      <c r="A27" t="n">
        <v>36</v>
      </c>
      <c r="B27" t="n">
        <v>1</v>
      </c>
      <c r="C27" t="inlineStr">
        <is>
          <t>36.0_1.txt</t>
        </is>
      </c>
      <c r="D27" t="n">
        <v>119.3832599118943</v>
      </c>
      <c r="E27" t="n">
        <v>20.32948339483394</v>
      </c>
      <c r="F27" t="n">
        <v>2428</v>
      </c>
      <c r="G27" t="n">
        <v>0.101</v>
      </c>
      <c r="H27" t="n">
        <v>0.042</v>
      </c>
      <c r="I27" t="n">
        <v>0.101</v>
      </c>
      <c r="K27" t="n">
        <v>0.0491896414964542</v>
      </c>
      <c r="L27" t="n">
        <v>0.0245948207482271</v>
      </c>
      <c r="M27" t="inlineStr">
        <is>
          <t>eta/xi</t>
        </is>
      </c>
      <c r="N27" t="n">
        <v>6.40247503538457</v>
      </c>
      <c r="O27" t="n">
        <v>6.977647960295225</v>
      </c>
      <c r="P27" t="n">
        <v>5.609047241250664e-05</v>
      </c>
      <c r="Q27" t="n">
        <v>8.149669776003066e-05</v>
      </c>
      <c r="R27" t="n">
        <v>6.40258458854419</v>
      </c>
      <c r="S27" t="n">
        <v>6.97742001185318</v>
      </c>
      <c r="T27" t="n">
        <v>6.402544508097892</v>
      </c>
      <c r="U27" t="n">
        <v>6.977564711775003</v>
      </c>
      <c r="V27" t="n">
        <v>0.09223671207391201</v>
      </c>
      <c r="W27" t="n">
        <v>0.1294395671415959</v>
      </c>
      <c r="X27" t="n">
        <v>0.5467227875552982</v>
      </c>
      <c r="Y27" t="n">
        <v>0.8360673951493175</v>
      </c>
      <c r="Z27" t="n">
        <v>0.8419332837542606</v>
      </c>
      <c r="AA27" t="n">
        <v>1.738607567724673</v>
      </c>
      <c r="AB27" t="n">
        <v>1.726530849224575</v>
      </c>
      <c r="AC27" t="n">
        <v>0.007909336757307078</v>
      </c>
      <c r="AD27" t="n">
        <v>11</v>
      </c>
      <c r="AE27" t="n">
        <v>0.2362150224238599</v>
      </c>
      <c r="AF27" t="n">
        <v>23.88037900526192</v>
      </c>
      <c r="AG27" t="n">
        <v>37.73071654294115</v>
      </c>
      <c r="AH27" t="n">
        <v>3.130775427044896</v>
      </c>
    </row>
    <row r="28">
      <c r="A28" t="n">
        <v>36</v>
      </c>
      <c r="B28" t="n">
        <v>2</v>
      </c>
      <c r="C28" t="inlineStr">
        <is>
          <t>36.0_2.txt</t>
        </is>
      </c>
      <c r="D28" t="n">
        <v>119.3832599118943</v>
      </c>
      <c r="E28" t="n">
        <v>20.34623616236161</v>
      </c>
      <c r="F28" t="n">
        <v>2430</v>
      </c>
      <c r="G28" t="n">
        <v>0.08400000000000001</v>
      </c>
      <c r="H28" t="n">
        <v>0</v>
      </c>
      <c r="I28" t="n">
        <v>0.08400000000000001</v>
      </c>
      <c r="K28" t="n">
        <v>0.04914913952733403</v>
      </c>
      <c r="L28" t="n">
        <v>0.02457456976366701</v>
      </c>
      <c r="M28" t="inlineStr">
        <is>
          <t>eta/xi</t>
        </is>
      </c>
      <c r="N28" t="n">
        <v>6.401894923793552</v>
      </c>
      <c r="O28" t="n">
        <v>6.977921293669143</v>
      </c>
      <c r="P28" t="n">
        <v>5.593177395546434e-05</v>
      </c>
      <c r="Q28" t="n">
        <v>5.989452586385724e-05</v>
      </c>
      <c r="R28" t="n">
        <v>6.401983162520771</v>
      </c>
      <c r="S28" t="n">
        <v>6.977718592048933</v>
      </c>
      <c r="T28" t="n">
        <v>6.401980146073433</v>
      </c>
      <c r="U28" t="n">
        <v>6.977872057220293</v>
      </c>
      <c r="V28" t="n">
        <v>0.09448886519149077</v>
      </c>
      <c r="W28" t="n">
        <v>0.1279219238317051</v>
      </c>
      <c r="X28" t="n">
        <v>0.5590305181254195</v>
      </c>
      <c r="Y28" t="n">
        <v>0.8565917423715569</v>
      </c>
      <c r="Z28" t="n">
        <v>0.8417147741137232</v>
      </c>
      <c r="AA28" t="n">
        <v>1.736031633787838</v>
      </c>
      <c r="AB28" t="n">
        <v>1.723982788429282</v>
      </c>
      <c r="AC28" t="n">
        <v>0.007873150020389855</v>
      </c>
      <c r="AD28" t="n">
        <v>11</v>
      </c>
      <c r="AE28" t="n">
        <v>0.2577651838176844</v>
      </c>
      <c r="AF28" t="n">
        <v>23.75219217384553</v>
      </c>
      <c r="AG28" t="n">
        <v>37.77865791294315</v>
      </c>
      <c r="AH28" t="n">
        <v>3.279282554069292</v>
      </c>
    </row>
    <row r="29">
      <c r="A29" t="n">
        <v>36</v>
      </c>
      <c r="B29" t="n">
        <v>3</v>
      </c>
      <c r="C29" t="inlineStr">
        <is>
          <t>36.0_3.txt</t>
        </is>
      </c>
      <c r="D29" t="n">
        <v>119.3818164033844</v>
      </c>
      <c r="E29" t="n">
        <v>20.22921138877507</v>
      </c>
      <c r="F29" t="n">
        <v>2416</v>
      </c>
      <c r="G29" t="n">
        <v>0.218</v>
      </c>
      <c r="H29" t="n">
        <v>0.134</v>
      </c>
      <c r="I29" t="n">
        <v>0.218</v>
      </c>
      <c r="K29" t="n">
        <v>0.04943346434922753</v>
      </c>
      <c r="L29" t="n">
        <v>0.02471673217461376</v>
      </c>
      <c r="M29" t="inlineStr">
        <is>
          <t>eta/xi</t>
        </is>
      </c>
      <c r="N29" t="n">
        <v>6.40281358934934</v>
      </c>
      <c r="O29" t="n">
        <v>6.978374174862637</v>
      </c>
      <c r="P29" t="n">
        <v>6.401531055466592e-05</v>
      </c>
      <c r="Q29" t="n">
        <v>7.613600481493066e-05</v>
      </c>
      <c r="R29" t="n">
        <v>6.402982011268853</v>
      </c>
      <c r="S29" t="n">
        <v>6.978165375276092</v>
      </c>
      <c r="T29" t="n">
        <v>6.402845970536728</v>
      </c>
      <c r="U29" t="n">
        <v>6.978304313550935</v>
      </c>
      <c r="V29" t="n">
        <v>0.09073140212505497</v>
      </c>
      <c r="W29" t="n">
        <v>0.1314813154451313</v>
      </c>
      <c r="X29" t="n">
        <v>0.553476055509303</v>
      </c>
      <c r="Y29" t="n">
        <v>0.8427276280927942</v>
      </c>
      <c r="Z29" t="n">
        <v>0.8418470832124905</v>
      </c>
      <c r="AA29" t="n">
        <v>1.737436553457147</v>
      </c>
      <c r="AB29" t="n">
        <v>1.727401089488142</v>
      </c>
      <c r="AC29" t="n">
        <v>0.006578435780083485</v>
      </c>
      <c r="AD29" t="n">
        <v>11</v>
      </c>
      <c r="AE29" t="n">
        <v>0.2525167645915001</v>
      </c>
      <c r="AF29" t="n">
        <v>23.93118490378877</v>
      </c>
      <c r="AG29" t="n">
        <v>37.68478958659522</v>
      </c>
      <c r="AH29" t="n">
        <v>3.098815742395533</v>
      </c>
    </row>
    <row r="30">
      <c r="A30" t="n">
        <v>36</v>
      </c>
      <c r="B30" t="n">
        <v>4</v>
      </c>
      <c r="C30" t="inlineStr">
        <is>
          <t>36.0_4.txt</t>
        </is>
      </c>
      <c r="D30" t="n">
        <v>119.3796173981114</v>
      </c>
      <c r="E30" t="n">
        <v>20.27984385245904</v>
      </c>
      <c r="F30" t="n">
        <v>2422</v>
      </c>
      <c r="G30" t="n">
        <v>0.159</v>
      </c>
      <c r="H30" t="n">
        <v>0.101</v>
      </c>
      <c r="I30" t="n">
        <v>0.159</v>
      </c>
      <c r="K30" t="n">
        <v>0.04931004436105383</v>
      </c>
      <c r="L30" t="n">
        <v>0.02465502218052691</v>
      </c>
      <c r="M30" t="inlineStr">
        <is>
          <t>eta/xi</t>
        </is>
      </c>
      <c r="N30" t="n">
        <v>6.401940490091154</v>
      </c>
      <c r="O30" t="n">
        <v>6.977453710513406</v>
      </c>
      <c r="P30" t="n">
        <v>5.310071864483845e-05</v>
      </c>
      <c r="Q30" t="n">
        <v>6.306727527105593e-05</v>
      </c>
      <c r="R30" t="n">
        <v>6.402131055853552</v>
      </c>
      <c r="S30" t="n">
        <v>6.977288822354725</v>
      </c>
      <c r="T30" t="n">
        <v>6.401911782947225</v>
      </c>
      <c r="U30" t="n">
        <v>6.97740272237099</v>
      </c>
      <c r="V30" t="n">
        <v>0.08798280151281808</v>
      </c>
      <c r="W30" t="n">
        <v>0.1413066149195796</v>
      </c>
      <c r="X30" t="n">
        <v>0.5216102815235764</v>
      </c>
      <c r="Y30" t="n">
        <v>0.8028430171062424</v>
      </c>
      <c r="Z30" t="n">
        <v>0.8418395739654796</v>
      </c>
      <c r="AA30" t="n">
        <v>1.737579545551193</v>
      </c>
      <c r="AB30" t="n">
        <v>1.725001925942911</v>
      </c>
      <c r="AC30" t="n">
        <v>0.008744347967919256</v>
      </c>
      <c r="AD30" t="n">
        <v>11</v>
      </c>
      <c r="AE30" t="n">
        <v>0.2532454553171763</v>
      </c>
      <c r="AF30" t="n">
        <v>24.66021958465988</v>
      </c>
      <c r="AG30" t="n">
        <v>37.80469818691702</v>
      </c>
      <c r="AH30" t="n">
        <v>3.024342278161996</v>
      </c>
    </row>
    <row r="31">
      <c r="A31" t="n">
        <v>36</v>
      </c>
      <c r="B31" t="n">
        <v>5</v>
      </c>
      <c r="C31" t="inlineStr">
        <is>
          <t>36.0_5.txt</t>
        </is>
      </c>
      <c r="D31" t="n">
        <v>119.3818164033844</v>
      </c>
      <c r="E31" t="n">
        <v>20.31297623924619</v>
      </c>
      <c r="F31" t="n">
        <v>2426</v>
      </c>
      <c r="G31" t="n">
        <v>0.134</v>
      </c>
      <c r="H31" t="n">
        <v>0.05</v>
      </c>
      <c r="I31" t="n">
        <v>0.134</v>
      </c>
      <c r="K31" t="n">
        <v>0.04922961501170494</v>
      </c>
      <c r="L31" t="n">
        <v>0.02461480750585247</v>
      </c>
      <c r="M31" t="inlineStr">
        <is>
          <t>eta/xi</t>
        </is>
      </c>
      <c r="N31" t="n">
        <v>6.402944084850206</v>
      </c>
      <c r="O31" t="n">
        <v>6.978561816460779</v>
      </c>
      <c r="P31" t="n">
        <v>4.046876696994772e-05</v>
      </c>
      <c r="Q31" t="n">
        <v>3.980961222493917e-05</v>
      </c>
      <c r="R31" t="n">
        <v>6.403039991797643</v>
      </c>
      <c r="S31" t="n">
        <v>6.978537908564619</v>
      </c>
      <c r="T31" t="n">
        <v>6.402966253968607</v>
      </c>
      <c r="U31" t="n">
        <v>6.978435179785372</v>
      </c>
      <c r="V31" t="n">
        <v>0.09167309119675832</v>
      </c>
      <c r="W31" t="n">
        <v>0.1300783037844258</v>
      </c>
      <c r="X31" t="n">
        <v>0.5495966544144812</v>
      </c>
      <c r="Y31" t="n">
        <v>0.8372957628097505</v>
      </c>
      <c r="Z31" t="n">
        <v>0.841836125974357</v>
      </c>
      <c r="AA31" t="n">
        <v>1.737264064472109</v>
      </c>
      <c r="AB31" t="n">
        <v>1.732292253833833</v>
      </c>
      <c r="AC31" t="n">
        <v>0.008169446887167081</v>
      </c>
      <c r="AD31" t="n">
        <v>11</v>
      </c>
      <c r="AE31" t="n">
        <v>0.2612625981189579</v>
      </c>
      <c r="AF31" t="n">
        <v>24.01902218460376</v>
      </c>
      <c r="AG31" t="n">
        <v>37.6282655207072</v>
      </c>
      <c r="AH31" t="n">
        <v>3.048637001228999</v>
      </c>
    </row>
    <row r="32">
      <c r="A32" t="n">
        <v>39</v>
      </c>
      <c r="B32" t="n">
        <v>1</v>
      </c>
      <c r="C32" t="inlineStr">
        <is>
          <t>39.0_1.txt</t>
        </is>
      </c>
      <c r="D32" t="n">
        <v>119.3829424865715</v>
      </c>
      <c r="E32" t="n">
        <v>30.40635390946506</v>
      </c>
      <c r="F32" t="n">
        <v>3631</v>
      </c>
      <c r="G32" t="n">
        <v>0.126</v>
      </c>
      <c r="H32" t="n">
        <v>0.05</v>
      </c>
      <c r="I32" t="n">
        <v>0.126</v>
      </c>
      <c r="K32" t="n">
        <v>0.03288786294395903</v>
      </c>
      <c r="L32" t="n">
        <v>0.01644393147197952</v>
      </c>
      <c r="M32" t="inlineStr">
        <is>
          <t>eta/xi</t>
        </is>
      </c>
      <c r="N32" t="n">
        <v>6.40015449853538</v>
      </c>
      <c r="O32" t="n">
        <v>6.801839974143688</v>
      </c>
      <c r="P32" t="n">
        <v>8.685185607237855e-05</v>
      </c>
      <c r="Q32" t="n">
        <v>2.613417106500648e-05</v>
      </c>
      <c r="R32" t="n">
        <v>6.400324084534467</v>
      </c>
      <c r="S32" t="n">
        <v>6.801817797672588</v>
      </c>
      <c r="T32" t="n">
        <v>6.400260115818873</v>
      </c>
      <c r="U32" t="n">
        <v>6.801765079301804</v>
      </c>
      <c r="V32" t="n">
        <v>0.1028178373768256</v>
      </c>
      <c r="W32" t="n">
        <v>0.2269721850633242</v>
      </c>
      <c r="X32" t="n">
        <v>0.4723173802767982</v>
      </c>
      <c r="Y32" t="n">
        <v>0.878849216356215</v>
      </c>
      <c r="Z32" t="n">
        <v>0.8853767139300424</v>
      </c>
      <c r="AA32" t="n">
        <v>2.489509979133827</v>
      </c>
      <c r="AB32" t="n">
        <v>2.48774656838361</v>
      </c>
      <c r="AC32" t="n">
        <v>0.008067853010422749</v>
      </c>
      <c r="AD32" t="n">
        <v>12</v>
      </c>
      <c r="AE32" t="n">
        <v>0.3138579342608473</v>
      </c>
      <c r="AF32" t="n">
        <v>26.96426019255102</v>
      </c>
      <c r="AG32" t="n">
        <v>41.27895796934999</v>
      </c>
      <c r="AH32" t="n">
        <v>2.44846671320111</v>
      </c>
    </row>
    <row r="33">
      <c r="A33" t="n">
        <v>39</v>
      </c>
      <c r="B33" t="n">
        <v>2</v>
      </c>
      <c r="C33" t="inlineStr">
        <is>
          <t>39.0_2.txt</t>
        </is>
      </c>
      <c r="D33" t="n">
        <v>119.3829424865715</v>
      </c>
      <c r="E33" t="n">
        <v>30.34771906721541</v>
      </c>
      <c r="F33" t="n">
        <v>3624</v>
      </c>
      <c r="G33" t="n">
        <v>0.184</v>
      </c>
      <c r="H33" t="n">
        <v>0.109</v>
      </c>
      <c r="I33" t="n">
        <v>0.184</v>
      </c>
      <c r="K33" t="n">
        <v>0.03295140559938484</v>
      </c>
      <c r="L33" t="n">
        <v>0.01647570279969242</v>
      </c>
      <c r="M33" t="inlineStr">
        <is>
          <t>eta/xi</t>
        </is>
      </c>
      <c r="N33" t="n">
        <v>6.399650482211737</v>
      </c>
      <c r="O33" t="n">
        <v>6.801761846108236</v>
      </c>
      <c r="P33" t="n">
        <v>7.921717876646639e-05</v>
      </c>
      <c r="Q33" t="n">
        <v>2.596984349301223e-05</v>
      </c>
      <c r="R33" t="n">
        <v>6.399783678366677</v>
      </c>
      <c r="S33" t="n">
        <v>6.8016548515732</v>
      </c>
      <c r="T33" t="n">
        <v>6.39976919855462</v>
      </c>
      <c r="U33" t="n">
        <v>6.801751211832396</v>
      </c>
      <c r="V33" t="n">
        <v>0.1043948046680786</v>
      </c>
      <c r="W33" t="n">
        <v>0.2256419444813268</v>
      </c>
      <c r="X33" t="n">
        <v>0.4689573772290815</v>
      </c>
      <c r="Y33" t="n">
        <v>0.8813600558059425</v>
      </c>
      <c r="Z33" t="n">
        <v>0.8852576080063045</v>
      </c>
      <c r="AA33" t="n">
        <v>2.486873263938384</v>
      </c>
      <c r="AB33" t="n">
        <v>2.477207024525547</v>
      </c>
      <c r="AC33" t="n">
        <v>0.007775429431141278</v>
      </c>
      <c r="AD33" t="n">
        <v>12</v>
      </c>
      <c r="AE33" t="n">
        <v>0.3011426511961302</v>
      </c>
      <c r="AF33" t="n">
        <v>24.76746856793339</v>
      </c>
      <c r="AG33" t="n">
        <v>41.27474808994747</v>
      </c>
      <c r="AH33" t="n">
        <v>2.742249080151655</v>
      </c>
    </row>
    <row r="34">
      <c r="A34" t="n">
        <v>39</v>
      </c>
      <c r="B34" t="n">
        <v>3</v>
      </c>
      <c r="C34" t="inlineStr">
        <is>
          <t>39.0_3.txt</t>
        </is>
      </c>
      <c r="D34" t="n">
        <v>119.3829424865715</v>
      </c>
      <c r="E34" t="n">
        <v>30.38122469135807</v>
      </c>
      <c r="F34" t="n">
        <v>3628</v>
      </c>
      <c r="G34" t="n">
        <v>0.151</v>
      </c>
      <c r="H34" t="n">
        <v>0.08400000000000001</v>
      </c>
      <c r="I34" t="n">
        <v>0.151</v>
      </c>
      <c r="K34" t="n">
        <v>0.03291506547741144</v>
      </c>
      <c r="L34" t="n">
        <v>0.01645753273870572</v>
      </c>
      <c r="M34" t="inlineStr">
        <is>
          <t>eta/xi</t>
        </is>
      </c>
      <c r="N34" t="n">
        <v>6.399967497162566</v>
      </c>
      <c r="O34" t="n">
        <v>6.80232844127124</v>
      </c>
      <c r="P34" t="n">
        <v>0.0001233995319105397</v>
      </c>
      <c r="Q34" t="n">
        <v>2.574130326715718e-05</v>
      </c>
      <c r="R34" t="n">
        <v>6.400126640294861</v>
      </c>
      <c r="S34" t="n">
        <v>6.802238213073936</v>
      </c>
      <c r="T34" t="n">
        <v>6.400210982028753</v>
      </c>
      <c r="U34" t="n">
        <v>6.80230406980744</v>
      </c>
      <c r="V34" t="n">
        <v>0.1111512490768651</v>
      </c>
      <c r="W34" t="n">
        <v>0.208226264283666</v>
      </c>
      <c r="X34" t="n">
        <v>0.5018598385142551</v>
      </c>
      <c r="Y34" t="n">
        <v>0.932546199969434</v>
      </c>
      <c r="Z34" t="n">
        <v>0.8851978326480666</v>
      </c>
      <c r="AA34" t="n">
        <v>2.485330682915158</v>
      </c>
      <c r="AB34" t="n">
        <v>2.479006152695045</v>
      </c>
      <c r="AC34" t="n">
        <v>0.01078433971718807</v>
      </c>
      <c r="AD34" t="n">
        <v>11</v>
      </c>
      <c r="AE34" t="n">
        <v>0.2837643851430178</v>
      </c>
      <c r="AF34" t="n">
        <v>22.85665606283386</v>
      </c>
      <c r="AG34" t="n">
        <v>41.40250925844231</v>
      </c>
      <c r="AH34" t="n">
        <v>3.103991924020725</v>
      </c>
    </row>
    <row r="35">
      <c r="A35" t="n">
        <v>39</v>
      </c>
      <c r="B35" t="n">
        <v>4</v>
      </c>
      <c r="C35" t="inlineStr">
        <is>
          <t>39.0_4.txt</t>
        </is>
      </c>
      <c r="D35" t="n">
        <v>119.3805048950591</v>
      </c>
      <c r="E35" t="n">
        <v>30.32320899616016</v>
      </c>
      <c r="F35" t="n">
        <v>3621</v>
      </c>
      <c r="G35" t="n">
        <v>0.218</v>
      </c>
      <c r="H35" t="n">
        <v>0.134</v>
      </c>
      <c r="I35" t="n">
        <v>0.218</v>
      </c>
      <c r="K35" t="n">
        <v>0.03297804002625943</v>
      </c>
      <c r="L35" t="n">
        <v>0.01648902001312972</v>
      </c>
      <c r="M35" t="inlineStr">
        <is>
          <t>eta/xi</t>
        </is>
      </c>
      <c r="N35" t="n">
        <v>6.399631209644664</v>
      </c>
      <c r="O35" t="n">
        <v>6.801962440492599</v>
      </c>
      <c r="P35" t="n">
        <v>0.0001206947437575323</v>
      </c>
      <c r="Q35" t="n">
        <v>3.452379144741613e-05</v>
      </c>
      <c r="R35" t="n">
        <v>6.399804909048308</v>
      </c>
      <c r="S35" t="n">
        <v>6.801811936273384</v>
      </c>
      <c r="T35" t="n">
        <v>6.399832651627956</v>
      </c>
      <c r="U35" t="n">
        <v>6.801949063425902</v>
      </c>
      <c r="V35" t="n">
        <v>0.1063232716193448</v>
      </c>
      <c r="W35" t="n">
        <v>0.2155004377108635</v>
      </c>
      <c r="X35" t="n">
        <v>0.4927900643617407</v>
      </c>
      <c r="Y35" t="n">
        <v>0.9119421889722389</v>
      </c>
      <c r="Z35" t="n">
        <v>0.8852000635185421</v>
      </c>
      <c r="AA35" t="n">
        <v>2.485514231377077</v>
      </c>
      <c r="AB35" t="n">
        <v>2.478868486012067</v>
      </c>
      <c r="AC35" t="n">
        <v>0.007863593222145325</v>
      </c>
      <c r="AD35" t="n">
        <v>12</v>
      </c>
      <c r="AE35" t="n">
        <v>0.2695467241469168</v>
      </c>
      <c r="AF35" t="n">
        <v>25.07038149325766</v>
      </c>
      <c r="AG35" t="n">
        <v>41.31635584335412</v>
      </c>
      <c r="AH35" t="n">
        <v>3.076092367596528</v>
      </c>
    </row>
    <row r="36">
      <c r="A36" t="n">
        <v>39</v>
      </c>
      <c r="B36" t="n">
        <v>5</v>
      </c>
      <c r="C36" t="inlineStr">
        <is>
          <t>39.0_5.txt</t>
        </is>
      </c>
      <c r="D36" t="n">
        <v>119.3819764967757</v>
      </c>
      <c r="E36" t="n">
        <v>30.38984699753226</v>
      </c>
      <c r="F36" t="n">
        <v>3629</v>
      </c>
      <c r="G36" t="n">
        <v>0.159</v>
      </c>
      <c r="H36" t="n">
        <v>0.08400000000000001</v>
      </c>
      <c r="I36" t="n">
        <v>0.159</v>
      </c>
      <c r="K36" t="n">
        <v>0.03290572670804176</v>
      </c>
      <c r="L36" t="n">
        <v>0.01645286335402088</v>
      </c>
      <c r="M36" t="inlineStr">
        <is>
          <t>eta/xi</t>
        </is>
      </c>
      <c r="N36" t="n">
        <v>6.400922158494992</v>
      </c>
      <c r="O36" t="n">
        <v>6.802608295503967</v>
      </c>
      <c r="P36" t="n">
        <v>9.238509148401519e-05</v>
      </c>
      <c r="Q36" t="n">
        <v>3.502501058427754e-05</v>
      </c>
      <c r="R36" t="n">
        <v>6.401092669208678</v>
      </c>
      <c r="S36" t="n">
        <v>6.802500877167997</v>
      </c>
      <c r="T36" t="n">
        <v>6.401032419849777</v>
      </c>
      <c r="U36" t="n">
        <v>6.80256374110249</v>
      </c>
      <c r="V36" t="n">
        <v>0.1010107242177503</v>
      </c>
      <c r="W36" t="n">
        <v>0.2269548402301072</v>
      </c>
      <c r="X36" t="n">
        <v>0.4658730873792624</v>
      </c>
      <c r="Y36" t="n">
        <v>0.8619456093912825</v>
      </c>
      <c r="Z36" t="n">
        <v>0.8853890832409879</v>
      </c>
      <c r="AA36" t="n">
        <v>2.489505880004157</v>
      </c>
      <c r="AB36" t="n">
        <v>2.484498952925334</v>
      </c>
      <c r="AC36" t="n">
        <v>0.0107736493053103</v>
      </c>
      <c r="AD36" t="n">
        <v>12</v>
      </c>
      <c r="AE36" t="n">
        <v>0.3079363298117564</v>
      </c>
      <c r="AF36" t="n">
        <v>25.7304813363552</v>
      </c>
      <c r="AG36" t="n">
        <v>41.15955150764977</v>
      </c>
      <c r="AH36" t="n">
        <v>2.642378795671095</v>
      </c>
    </row>
    <row r="37">
      <c r="A37" t="n">
        <v>42</v>
      </c>
      <c r="B37" t="n">
        <v>1</v>
      </c>
      <c r="C37" t="inlineStr">
        <is>
          <t>42.0_1.txt</t>
        </is>
      </c>
      <c r="D37" t="n">
        <v>119.3826149532246</v>
      </c>
      <c r="E37" t="n">
        <v>40.23198856786529</v>
      </c>
      <c r="F37" t="n">
        <v>4804</v>
      </c>
      <c r="G37" t="n">
        <v>0.067</v>
      </c>
      <c r="H37" t="n">
        <v>0</v>
      </c>
      <c r="I37" t="n">
        <v>0.067</v>
      </c>
      <c r="K37" t="n">
        <v>0.02485584321324687</v>
      </c>
      <c r="L37" t="n">
        <v>0.01242792160662344</v>
      </c>
      <c r="M37" t="inlineStr">
        <is>
          <t>eta/xi</t>
        </is>
      </c>
      <c r="N37" t="n">
        <v>6.394704934099551</v>
      </c>
      <c r="O37" t="n">
        <v>6.685999325576625</v>
      </c>
      <c r="P37" t="n">
        <v>8.124212963123156e-05</v>
      </c>
      <c r="Q37" t="n">
        <v>5.512494548209901e-05</v>
      </c>
      <c r="R37" t="n">
        <v>6.39486481781261</v>
      </c>
      <c r="S37" t="n">
        <v>6.685841822203415</v>
      </c>
      <c r="T37" t="n">
        <v>6.394812479336883</v>
      </c>
      <c r="U37" t="n">
        <v>6.68591753478704</v>
      </c>
      <c r="V37" t="n">
        <v>0.1565667995022883</v>
      </c>
      <c r="W37" t="n">
        <v>0.3213328799872013</v>
      </c>
      <c r="X37" t="n">
        <v>0.4197229219510153</v>
      </c>
      <c r="Y37" t="n">
        <v>1.035422967113255</v>
      </c>
      <c r="Z37" t="n">
        <v>0.9147625217086125</v>
      </c>
      <c r="AA37" t="n">
        <v>3.432953154124511</v>
      </c>
      <c r="AB37" t="n">
        <v>3.430426896695071</v>
      </c>
      <c r="AC37" t="n">
        <v>0.02310604280293919</v>
      </c>
      <c r="AD37" t="n">
        <v>8</v>
      </c>
      <c r="AE37" t="n">
        <v>0.2716225367196691</v>
      </c>
      <c r="AF37" t="n">
        <v>23.2190818094872</v>
      </c>
      <c r="AG37" t="n">
        <v>44.60718267089221</v>
      </c>
      <c r="AH37" t="n">
        <v>2.712894097669692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  <col width="10" customWidth="1" min="10" max="10"/>
    <col width="10" customWidth="1" min="11" max="11"/>
    <col width="16" customWidth="1" min="12" max="12"/>
    <col width="15" customWidth="1" min="13" max="13"/>
    <col width="14" customWidth="1" min="14" max="14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f1 trial 1 / Hz</t>
        </is>
      </c>
      <c r="D1" s="3" t="inlineStr">
        <is>
          <t>f1 trial 2 / Hz</t>
        </is>
      </c>
      <c r="E1" s="3" t="inlineStr">
        <is>
          <t>f1 trial 3 / Hz</t>
        </is>
      </c>
      <c r="F1" s="3" t="inlineStr">
        <is>
          <t>f1 trial 4 / Hz</t>
        </is>
      </c>
      <c r="G1" s="3" t="inlineStr">
        <is>
          <t>f1 trial 5 / Hz</t>
        </is>
      </c>
      <c r="H1" s="3" t="inlineStr">
        <is>
          <t>mean / Hz</t>
        </is>
      </c>
      <c r="I1" s="3" t="inlineStr">
        <is>
          <t>half-range / Hz</t>
        </is>
      </c>
      <c r="J1" s="3" t="inlineStr">
        <is>
          <t>SD / Hz</t>
        </is>
      </c>
      <c r="K1" s="3" t="inlineStr">
        <is>
          <t>T mean / s</t>
        </is>
      </c>
      <c r="L1" s="3" t="inlineStr">
        <is>
          <t>half-bin 1/(2T) / Hz</t>
        </is>
      </c>
      <c r="M1" s="3" t="inlineStr">
        <is>
          <t>window spread / Hz</t>
        </is>
      </c>
      <c r="N1" s="3" t="inlineStr">
        <is>
          <t>adopted df1 / Hz</t>
        </is>
      </c>
    </row>
    <row r="2">
      <c r="A2" t="n">
        <v>24.5</v>
      </c>
      <c r="B2" t="n">
        <v>0.5</v>
      </c>
      <c r="C2" s="4" t="n">
        <v>6.419406301627559</v>
      </c>
      <c r="D2" s="4" t="n">
        <v>6.419089493849206</v>
      </c>
      <c r="E2" s="4" t="n">
        <v>6.419869948836316</v>
      </c>
      <c r="F2" s="4" t="n">
        <v>6.418374081644255</v>
      </c>
      <c r="G2" s="4" t="n">
        <v>6.419029860116187</v>
      </c>
      <c r="H2" s="4" t="n">
        <v>6.419153937214705</v>
      </c>
      <c r="I2" s="4" t="n">
        <v>0.0007479335960303146</v>
      </c>
      <c r="J2" s="4" t="n">
        <v>0.0005486536301829749</v>
      </c>
      <c r="K2" s="4" t="n">
        <v>10.78539806008856</v>
      </c>
      <c r="L2" s="4" t="n">
        <v>0.04636250078076476</v>
      </c>
      <c r="M2" s="4" t="n">
        <v>5.047082686768789e-05</v>
      </c>
      <c r="N2" s="4" t="n">
        <v>0.04636250078076476</v>
      </c>
    </row>
    <row r="3">
      <c r="A3" t="n">
        <v>26.5</v>
      </c>
      <c r="B3" t="n">
        <v>0.5</v>
      </c>
      <c r="C3" s="4" t="n">
        <v>6.418644390026945</v>
      </c>
      <c r="D3" s="4" t="n">
        <v>6.419208247588814</v>
      </c>
      <c r="E3" s="4" t="n">
        <v>6.420139737277909</v>
      </c>
      <c r="F3" s="4" t="n">
        <v>6.419934090770328</v>
      </c>
      <c r="G3" s="4" t="n">
        <v>6.420076607543871</v>
      </c>
      <c r="H3" s="4" t="n">
        <v>6.419600614641572</v>
      </c>
      <c r="I3" s="4" t="n">
        <v>0.0007476736254816707</v>
      </c>
      <c r="J3" s="4" t="n">
        <v>0.0006512960552252174</v>
      </c>
      <c r="K3" s="4" t="n">
        <v>10.73858939027098</v>
      </c>
      <c r="L3" s="4" t="n">
        <v>0.04656616245561433</v>
      </c>
      <c r="M3" s="4" t="n">
        <v>3.799195490987728e-05</v>
      </c>
      <c r="N3" s="4" t="n">
        <v>0.04656616245561433</v>
      </c>
    </row>
    <row r="4">
      <c r="A4" t="n">
        <v>28.5</v>
      </c>
      <c r="B4" t="n">
        <v>0.5</v>
      </c>
      <c r="C4" s="4" t="n">
        <v>6.405934114375643</v>
      </c>
      <c r="D4" s="4" t="n">
        <v>6.405847550953288</v>
      </c>
      <c r="E4" s="4" t="n">
        <v>6.406787881808524</v>
      </c>
      <c r="F4" s="4" t="n">
        <v>6.406058519239305</v>
      </c>
      <c r="G4" s="4" t="n">
        <v>6.406548919304272</v>
      </c>
      <c r="H4" s="4" t="n">
        <v>6.406235397136205</v>
      </c>
      <c r="I4" s="4" t="n">
        <v>0.0004701654276177969</v>
      </c>
      <c r="J4" s="4" t="n">
        <v>0.0004111013308308348</v>
      </c>
      <c r="K4" s="4" t="n">
        <v>10.7400928913053</v>
      </c>
      <c r="L4" s="4" t="n">
        <v>0.04655660929806697</v>
      </c>
      <c r="M4" s="4" t="n">
        <v>4.223458625984833e-05</v>
      </c>
      <c r="N4" s="4" t="n">
        <v>0.04655660929806697</v>
      </c>
    </row>
    <row r="5">
      <c r="A5" t="n">
        <v>31</v>
      </c>
      <c r="B5" t="n">
        <v>0.5</v>
      </c>
      <c r="C5" s="4" t="n">
        <v>6.41244474145741</v>
      </c>
      <c r="D5" s="4" t="n">
        <v>6.411240458789369</v>
      </c>
      <c r="E5" s="4" t="n">
        <v>6.411547806244279</v>
      </c>
      <c r="F5" s="4" t="n">
        <v>6.408236508958319</v>
      </c>
      <c r="G5" s="4" t="n">
        <v>6.408194502770441</v>
      </c>
      <c r="H5" s="4" t="n">
        <v>6.410332803643963</v>
      </c>
      <c r="I5" s="4" t="n">
        <v>0.002125119343484361</v>
      </c>
      <c r="J5" s="4" t="n">
        <v>0.001982872445745644</v>
      </c>
      <c r="K5" s="4" t="n">
        <v>11.69871685670274</v>
      </c>
      <c r="L5" s="4" t="n">
        <v>0.04292517894894167</v>
      </c>
      <c r="M5" s="4" t="n">
        <v>5.525711688401102e-05</v>
      </c>
      <c r="N5" s="4" t="n">
        <v>0.04292517894894167</v>
      </c>
    </row>
    <row r="6">
      <c r="A6" t="n">
        <v>33.5</v>
      </c>
      <c r="B6" t="n">
        <v>0.5</v>
      </c>
      <c r="C6" s="4" t="n">
        <v>6.404739634017952</v>
      </c>
      <c r="D6" s="4" t="n">
        <v>6.404666983702457</v>
      </c>
      <c r="E6" s="4" t="n">
        <v>6.402550127426185</v>
      </c>
      <c r="F6" s="4" t="n">
        <v>6.403289124033514</v>
      </c>
      <c r="G6" s="4" t="n">
        <v>6.403276557415245</v>
      </c>
      <c r="H6" s="4" t="n">
        <v>6.403704485319071</v>
      </c>
      <c r="I6" s="4" t="n">
        <v>0.001094753295883599</v>
      </c>
      <c r="J6" s="4" t="n">
        <v>0.0009599642441384309</v>
      </c>
      <c r="K6" s="4" t="n">
        <v>16.01756646979515</v>
      </c>
      <c r="L6" s="4" t="n">
        <v>0.03121820139479923</v>
      </c>
      <c r="M6" s="4" t="n">
        <v>3.534193541501196e-05</v>
      </c>
      <c r="N6" s="4" t="n">
        <v>0.03121820139479923</v>
      </c>
    </row>
    <row r="7">
      <c r="A7" t="n">
        <v>36</v>
      </c>
      <c r="B7" t="n">
        <v>0.5</v>
      </c>
      <c r="C7" s="4" t="n">
        <v>6.40247503538457</v>
      </c>
      <c r="D7" s="4" t="n">
        <v>6.401894923793552</v>
      </c>
      <c r="E7" s="4" t="n">
        <v>6.40281358934934</v>
      </c>
      <c r="F7" s="4" t="n">
        <v>6.401940490091154</v>
      </c>
      <c r="G7" s="4" t="n">
        <v>6.402944084850206</v>
      </c>
      <c r="H7" s="4" t="n">
        <v>6.402413624693764</v>
      </c>
      <c r="I7" s="4" t="n">
        <v>0.0005245805283267124</v>
      </c>
      <c r="J7" s="4" t="n">
        <v>0.0004842617970413353</v>
      </c>
      <c r="K7" s="4" t="n">
        <v>20.29955020753517</v>
      </c>
      <c r="L7" s="4" t="n">
        <v>0.02463119047457745</v>
      </c>
      <c r="M7" s="4" t="n">
        <v>5.392140850748462e-05</v>
      </c>
      <c r="N7" s="4" t="n">
        <v>0.02463119047457745</v>
      </c>
    </row>
    <row r="8">
      <c r="A8" t="n">
        <v>39</v>
      </c>
      <c r="B8" t="n">
        <v>0.5</v>
      </c>
      <c r="C8" s="4" t="n">
        <v>6.40015449853538</v>
      </c>
      <c r="D8" s="4" t="n">
        <v>6.399650482211737</v>
      </c>
      <c r="E8" s="4" t="n">
        <v>6.399967497162566</v>
      </c>
      <c r="F8" s="4" t="n">
        <v>6.399631209644664</v>
      </c>
      <c r="G8" s="4" t="n">
        <v>6.400922158494992</v>
      </c>
      <c r="H8" s="4" t="n">
        <v>6.400065169209867</v>
      </c>
      <c r="I8" s="4" t="n">
        <v>0.0006454744251640498</v>
      </c>
      <c r="J8" s="4" t="n">
        <v>0.0005273130954870273</v>
      </c>
      <c r="K8" s="4" t="n">
        <v>30.3696707323462</v>
      </c>
      <c r="L8" s="4" t="n">
        <v>0.01646381007550565</v>
      </c>
      <c r="M8" s="4" t="n">
        <v>0.0001005096803981864</v>
      </c>
      <c r="N8" s="4" t="n">
        <v>0.01646381007550565</v>
      </c>
    </row>
    <row r="9">
      <c r="A9" t="n">
        <v>42</v>
      </c>
      <c r="B9" t="n">
        <v>0.5</v>
      </c>
      <c r="C9" s="4" t="n">
        <v>6.394704934099551</v>
      </c>
      <c r="D9" s="4" t="n"/>
      <c r="E9" s="4" t="n"/>
      <c r="F9" s="4" t="n"/>
      <c r="G9" s="4" t="n"/>
      <c r="H9" s="4" t="n">
        <v>6.394704934099551</v>
      </c>
      <c r="I9" s="4" t="n"/>
      <c r="J9" s="4" t="n"/>
      <c r="K9" s="4" t="n">
        <v>40.23198856786529</v>
      </c>
      <c r="L9" s="4" t="n">
        <v>0.01242792160662344</v>
      </c>
      <c r="M9" s="4" t="n">
        <v>8.124212963123156e-05</v>
      </c>
      <c r="N9" s="4" t="n">
        <v>0.01242792160662344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  <col width="10" customWidth="1" min="10" max="10"/>
    <col width="10" customWidth="1" min="11" max="11"/>
    <col width="16" customWidth="1" min="12" max="12"/>
    <col width="15" customWidth="1" min="13" max="13"/>
    <col width="14" customWidth="1" min="14" max="14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f2 trial 1 / Hz</t>
        </is>
      </c>
      <c r="D1" s="3" t="inlineStr">
        <is>
          <t>f2 trial 2 / Hz</t>
        </is>
      </c>
      <c r="E1" s="3" t="inlineStr">
        <is>
          <t>f2 trial 3 / Hz</t>
        </is>
      </c>
      <c r="F1" s="3" t="inlineStr">
        <is>
          <t>f2 trial 4 / Hz</t>
        </is>
      </c>
      <c r="G1" s="3" t="inlineStr">
        <is>
          <t>f2 trial 5 / Hz</t>
        </is>
      </c>
      <c r="H1" s="3" t="inlineStr">
        <is>
          <t>mean / Hz</t>
        </is>
      </c>
      <c r="I1" s="3" t="inlineStr">
        <is>
          <t>half-range / Hz</t>
        </is>
      </c>
      <c r="J1" s="3" t="inlineStr">
        <is>
          <t>SD / Hz</t>
        </is>
      </c>
      <c r="K1" s="3" t="inlineStr">
        <is>
          <t>T mean / s</t>
        </is>
      </c>
      <c r="L1" s="3" t="inlineStr">
        <is>
          <t>half-bin 1/(2T) / Hz</t>
        </is>
      </c>
      <c r="M1" s="3" t="inlineStr">
        <is>
          <t>window spread / Hz</t>
        </is>
      </c>
      <c r="N1" s="3" t="inlineStr">
        <is>
          <t>adopted df2 / Hz</t>
        </is>
      </c>
    </row>
    <row r="2">
      <c r="A2" t="n">
        <v>24.5</v>
      </c>
      <c r="B2" t="n">
        <v>0.5</v>
      </c>
      <c r="C2" s="4" t="n">
        <v>8.540313099876714</v>
      </c>
      <c r="D2" s="4" t="n">
        <v>8.540947947676575</v>
      </c>
      <c r="E2" s="4" t="n">
        <v>8.54041543933724</v>
      </c>
      <c r="F2" s="4" t="n">
        <v>8.540954243350058</v>
      </c>
      <c r="G2" s="4" t="n">
        <v>8.541346442375042</v>
      </c>
      <c r="H2" s="4" t="n">
        <v>8.540795434523126</v>
      </c>
      <c r="I2" s="4" t="n">
        <v>0.0005166712491639913</v>
      </c>
      <c r="J2" s="4" t="n">
        <v>0.0004269464869235424</v>
      </c>
      <c r="K2" s="4" t="n">
        <v>10.78539806008856</v>
      </c>
      <c r="L2" s="4" t="n">
        <v>0.04636250078076476</v>
      </c>
      <c r="M2" s="4" t="n">
        <v>3.630201524131849e-05</v>
      </c>
      <c r="N2" s="4" t="n">
        <v>0.04636250078076476</v>
      </c>
    </row>
    <row r="3">
      <c r="A3" t="n">
        <v>26.5</v>
      </c>
      <c r="B3" t="n">
        <v>0.5</v>
      </c>
      <c r="C3" s="4" t="n">
        <v>8.147034463213608</v>
      </c>
      <c r="D3" s="4" t="n">
        <v>8.147770110913784</v>
      </c>
      <c r="E3" s="4" t="n">
        <v>8.146732841160881</v>
      </c>
      <c r="F3" s="4" t="n">
        <v>8.147557115722323</v>
      </c>
      <c r="G3" s="4" t="n">
        <v>8.146164705386596</v>
      </c>
      <c r="H3" s="4" t="n">
        <v>8.147051847279439</v>
      </c>
      <c r="I3" s="4" t="n">
        <v>0.0008027027635941764</v>
      </c>
      <c r="J3" s="4" t="n">
        <v>0.0006442605636030872</v>
      </c>
      <c r="K3" s="4" t="n">
        <v>10.73858939027098</v>
      </c>
      <c r="L3" s="4" t="n">
        <v>0.04656616245561433</v>
      </c>
      <c r="M3" s="4" t="n">
        <v>7.672577431598882e-05</v>
      </c>
      <c r="N3" s="4" t="n">
        <v>0.04656616245561433</v>
      </c>
    </row>
    <row r="4">
      <c r="A4" t="n">
        <v>28.5</v>
      </c>
      <c r="B4" t="n">
        <v>0.5</v>
      </c>
      <c r="C4" s="4" t="n">
        <v>7.789969525497994</v>
      </c>
      <c r="D4" s="4" t="n">
        <v>7.791607409894092</v>
      </c>
      <c r="E4" s="4" t="n">
        <v>7.794130267109352</v>
      </c>
      <c r="F4" s="4" t="n">
        <v>7.794845038477285</v>
      </c>
      <c r="G4" s="4" t="n">
        <v>7.79513670606318</v>
      </c>
      <c r="H4" s="4" t="n">
        <v>7.793137789408381</v>
      </c>
      <c r="I4" s="4" t="n">
        <v>0.002583590282593029</v>
      </c>
      <c r="J4" s="4" t="n">
        <v>0.002251407161457525</v>
      </c>
      <c r="K4" s="4" t="n">
        <v>10.7400928913053</v>
      </c>
      <c r="L4" s="4" t="n">
        <v>0.04655660929806697</v>
      </c>
      <c r="M4" s="4" t="n">
        <v>4.770460722918202e-05</v>
      </c>
      <c r="N4" s="4" t="n">
        <v>0.04655660929806697</v>
      </c>
    </row>
    <row r="5">
      <c r="A5" t="n">
        <v>31</v>
      </c>
      <c r="B5" t="n">
        <v>0.5</v>
      </c>
      <c r="C5" s="4" t="n">
        <v>7.516281202943537</v>
      </c>
      <c r="D5" s="4" t="n">
        <v>7.517696659469822</v>
      </c>
      <c r="E5" s="4" t="n">
        <v>7.517770971419542</v>
      </c>
      <c r="F5" s="4" t="n">
        <v>7.517593398617378</v>
      </c>
      <c r="G5" s="4" t="n">
        <v>7.5174691390196</v>
      </c>
      <c r="H5" s="4" t="n">
        <v>7.517362274293975</v>
      </c>
      <c r="I5" s="4" t="n">
        <v>0.0007448842380024523</v>
      </c>
      <c r="J5" s="4" t="n">
        <v>0.0006148984821623529</v>
      </c>
      <c r="K5" s="4" t="n">
        <v>11.69871685670274</v>
      </c>
      <c r="L5" s="4" t="n">
        <v>0.04292517894894167</v>
      </c>
      <c r="M5" s="4" t="n">
        <v>4.71445773435164e-05</v>
      </c>
      <c r="N5" s="4" t="n">
        <v>0.04292517894894167</v>
      </c>
    </row>
    <row r="6">
      <c r="A6" t="n">
        <v>33.5</v>
      </c>
      <c r="B6" t="n">
        <v>0.5</v>
      </c>
      <c r="C6" s="4" t="n">
        <v>7.208040544027229</v>
      </c>
      <c r="D6" s="4" t="n">
        <v>7.209867817456002</v>
      </c>
      <c r="E6" s="4" t="n">
        <v>7.210632534352987</v>
      </c>
      <c r="F6" s="4" t="n">
        <v>7.211082456546949</v>
      </c>
      <c r="G6" s="4" t="n">
        <v>7.21019716870445</v>
      </c>
      <c r="H6" s="4" t="n">
        <v>7.209964104217522</v>
      </c>
      <c r="I6" s="4" t="n">
        <v>0.001520956259859929</v>
      </c>
      <c r="J6" s="4" t="n">
        <v>0.001168458897428946</v>
      </c>
      <c r="K6" s="4" t="n">
        <v>16.01756646979515</v>
      </c>
      <c r="L6" s="4" t="n">
        <v>0.03121820139479923</v>
      </c>
      <c r="M6" s="4" t="n">
        <v>9.099519799127265e-05</v>
      </c>
      <c r="N6" s="4" t="n">
        <v>0.03121820139479923</v>
      </c>
    </row>
    <row r="7">
      <c r="A7" t="n">
        <v>36</v>
      </c>
      <c r="B7" t="n">
        <v>0.5</v>
      </c>
      <c r="C7" s="4" t="n">
        <v>6.977647960295225</v>
      </c>
      <c r="D7" s="4" t="n">
        <v>6.977921293669143</v>
      </c>
      <c r="E7" s="4" t="n">
        <v>6.978374174862637</v>
      </c>
      <c r="F7" s="4" t="n">
        <v>6.977453710513406</v>
      </c>
      <c r="G7" s="4" t="n">
        <v>6.978561816460779</v>
      </c>
      <c r="H7" s="4" t="n">
        <v>6.977991791160238</v>
      </c>
      <c r="I7" s="4" t="n">
        <v>0.0005540529736864919</v>
      </c>
      <c r="J7" s="4" t="n">
        <v>0.0004700708674228268</v>
      </c>
      <c r="K7" s="4" t="n">
        <v>20.29955020753517</v>
      </c>
      <c r="L7" s="4" t="n">
        <v>0.02463119047457745</v>
      </c>
      <c r="M7" s="4" t="n">
        <v>6.408082318696274e-05</v>
      </c>
      <c r="N7" s="4" t="n">
        <v>0.02463119047457745</v>
      </c>
    </row>
    <row r="8">
      <c r="A8" t="n">
        <v>39</v>
      </c>
      <c r="B8" t="n">
        <v>0.5</v>
      </c>
      <c r="C8" s="4" t="n">
        <v>6.801839974143688</v>
      </c>
      <c r="D8" s="4" t="n">
        <v>6.801761846108236</v>
      </c>
      <c r="E8" s="4" t="n">
        <v>6.80232844127124</v>
      </c>
      <c r="F8" s="4" t="n">
        <v>6.801962440492599</v>
      </c>
      <c r="G8" s="4" t="n">
        <v>6.802608295503967</v>
      </c>
      <c r="H8" s="4" t="n">
        <v>6.802100199503945</v>
      </c>
      <c r="I8" s="4" t="n">
        <v>0.0004232246978657095</v>
      </c>
      <c r="J8" s="4" t="n">
        <v>0.0003575729482541079</v>
      </c>
      <c r="K8" s="4" t="n">
        <v>30.3696707323462</v>
      </c>
      <c r="L8" s="4" t="n">
        <v>0.01646381007550565</v>
      </c>
      <c r="M8" s="4" t="n">
        <v>2.947882397137391e-05</v>
      </c>
      <c r="N8" s="4" t="n">
        <v>0.01646381007550565</v>
      </c>
    </row>
    <row r="9">
      <c r="A9" t="n">
        <v>42</v>
      </c>
      <c r="B9" t="n">
        <v>0.5</v>
      </c>
      <c r="C9" s="4" t="n">
        <v>6.685999325576625</v>
      </c>
      <c r="D9" s="4" t="n"/>
      <c r="E9" s="4" t="n"/>
      <c r="F9" s="4" t="n"/>
      <c r="G9" s="4" t="n"/>
      <c r="H9" s="4" t="n">
        <v>6.685999325576625</v>
      </c>
      <c r="I9" s="4" t="n"/>
      <c r="J9" s="4" t="n"/>
      <c r="K9" s="4" t="n">
        <v>40.23198856786529</v>
      </c>
      <c r="L9" s="4" t="n">
        <v>0.01242792160662344</v>
      </c>
      <c r="M9" s="4" t="n">
        <v>5.512494548209901e-05</v>
      </c>
      <c r="N9" s="4" t="n">
        <v>0.01242792160662344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f1 / Hz</t>
        </is>
      </c>
      <c r="D1" s="3" t="inlineStr">
        <is>
          <t>df1 / Hz</t>
        </is>
      </c>
      <c r="E1" s="3" t="inlineStr">
        <is>
          <t>f2 / Hz</t>
        </is>
      </c>
      <c r="F1" s="3" t="inlineStr">
        <is>
          <t>df2 / Hz</t>
        </is>
      </c>
      <c r="G1" s="3" t="inlineStr">
        <is>
          <t>f_avg / Hz</t>
        </is>
      </c>
      <c r="H1" s="3" t="inlineStr">
        <is>
          <t>df_avg / Hz</t>
        </is>
      </c>
      <c r="I1" s="3" t="inlineStr">
        <is>
          <t>f_beat / Hz</t>
        </is>
      </c>
      <c r="J1" s="3" t="inlineStr">
        <is>
          <t>df_beat / Hz</t>
        </is>
      </c>
      <c r="K1" s="3" t="inlineStr">
        <is>
          <t>f2^2-f1^2 / Hz^2</t>
        </is>
      </c>
      <c r="L1" s="3" t="inlineStr">
        <is>
          <t>d(f2^2-f1^2) / Hz^2</t>
        </is>
      </c>
      <c r="M1" s="3" t="inlineStr">
        <is>
          <t>ln(d/m)</t>
        </is>
      </c>
      <c r="N1" s="3" t="inlineStr">
        <is>
          <t>d ln d</t>
        </is>
      </c>
      <c r="O1" s="3" t="inlineStr">
        <is>
          <t>ln(f2^2-f1^2)</t>
        </is>
      </c>
      <c r="P1" s="3" t="inlineStr">
        <is>
          <t>d ln(...)</t>
        </is>
      </c>
      <c r="Q1" s="3" t="inlineStr">
        <is>
          <t>C_i=(f2^2-f1^2)d^5 / m^5 s^-2</t>
        </is>
      </c>
      <c r="R1" s="3" t="inlineStr">
        <is>
          <t>dC_i</t>
        </is>
      </c>
      <c r="S1" s="3" t="inlineStr">
        <is>
          <t>2gamma/k=(f2/f1)^2-1</t>
        </is>
      </c>
      <c r="T1" s="3" t="inlineStr">
        <is>
          <t>(f1/f2)^2</t>
        </is>
      </c>
      <c r="U1" s="3" t="inlineStr">
        <is>
          <t>rA</t>
        </is>
      </c>
      <c r="V1" s="3" t="inlineStr">
        <is>
          <t>rB</t>
        </is>
      </c>
      <c r="W1" s="3" t="inlineStr">
        <is>
          <t>tau / s</t>
        </is>
      </c>
      <c r="X1" s="3" t="inlineStr">
        <is>
          <t>d_track / mm</t>
        </is>
      </c>
    </row>
    <row r="2">
      <c r="A2" t="n">
        <v>24.5</v>
      </c>
      <c r="B2" t="n">
        <v>0.5</v>
      </c>
      <c r="C2" s="4" t="n">
        <v>6.419153937214705</v>
      </c>
      <c r="D2" s="4" t="n">
        <v>0.04636250078076476</v>
      </c>
      <c r="E2" s="4" t="n">
        <v>8.540795434523126</v>
      </c>
      <c r="F2" s="4" t="n">
        <v>0.04636250078076476</v>
      </c>
      <c r="G2" s="4" t="n">
        <v>7.479974685868916</v>
      </c>
      <c r="H2" s="4" t="n">
        <v>0.04636250078076476</v>
      </c>
      <c r="I2" s="4" t="n">
        <v>2.121641497308421</v>
      </c>
      <c r="J2" s="4" t="n">
        <v>0.09272500156152952</v>
      </c>
      <c r="K2" s="4" t="n">
        <v>31.73964938471202</v>
      </c>
      <c r="L2" s="4" t="n">
        <v>1.387161328854793</v>
      </c>
      <c r="M2" s="4" t="n">
        <v>-3.709082161431456</v>
      </c>
      <c r="N2" s="4" t="n">
        <v>0.02040816326530612</v>
      </c>
      <c r="O2" s="4" t="n">
        <v>3.457566668556848</v>
      </c>
      <c r="P2" s="4" t="n">
        <v>0.04370436837663822</v>
      </c>
      <c r="Q2" s="5" t="n">
        <v>2.801770425974758e-07</v>
      </c>
      <c r="R2" s="5" t="n">
        <v>4.083445482295672e-08</v>
      </c>
      <c r="S2" s="6" t="n">
        <v>0.7702763144914251</v>
      </c>
      <c r="T2" s="6" t="n">
        <v>0.5648835675052714</v>
      </c>
      <c r="U2" s="6" t="n">
        <v>0.495119753902603</v>
      </c>
      <c r="V2" s="6" t="n">
        <v>0.541965706588015</v>
      </c>
      <c r="W2" s="6" t="n">
        <v>28.82493906591081</v>
      </c>
      <c r="X2" s="6" t="n">
        <v>27.12847456078866</v>
      </c>
    </row>
    <row r="3">
      <c r="A3" t="n">
        <v>26.5</v>
      </c>
      <c r="B3" t="n">
        <v>0.5</v>
      </c>
      <c r="C3" s="4" t="n">
        <v>6.419600614641572</v>
      </c>
      <c r="D3" s="4" t="n">
        <v>0.04656616245561433</v>
      </c>
      <c r="E3" s="4" t="n">
        <v>8.147051847279439</v>
      </c>
      <c r="F3" s="4" t="n">
        <v>0.04656616245561433</v>
      </c>
      <c r="G3" s="4" t="n">
        <v>7.283326230960506</v>
      </c>
      <c r="H3" s="4" t="n">
        <v>0.04656616245561433</v>
      </c>
      <c r="I3" s="4" t="n">
        <v>1.727451232637867</v>
      </c>
      <c r="J3" s="4" t="n">
        <v>0.09313232491122865</v>
      </c>
      <c r="K3" s="4" t="n">
        <v>25.16318175075286</v>
      </c>
      <c r="L3" s="4" t="n">
        <v>1.356626209952576</v>
      </c>
      <c r="M3" s="4" t="n">
        <v>-3.630610545989961</v>
      </c>
      <c r="N3" s="4" t="n">
        <v>0.01886792452830189</v>
      </c>
      <c r="O3" s="4" t="n">
        <v>3.225381884518513</v>
      </c>
      <c r="P3" s="4" t="n">
        <v>0.05391314275715501</v>
      </c>
      <c r="Q3" s="5" t="n">
        <v>3.288477874282716e-07</v>
      </c>
      <c r="R3" s="5" t="n">
        <v>4.875259388147343e-08</v>
      </c>
      <c r="S3" s="6" t="n">
        <v>0.6105897852243809</v>
      </c>
      <c r="T3" s="6" t="n">
        <v>0.6208905639251177</v>
      </c>
      <c r="U3" s="6" t="n">
        <v>0.5318044701582032</v>
      </c>
      <c r="V3" s="6" t="n">
        <v>0.5934688711158604</v>
      </c>
      <c r="W3" s="6" t="n">
        <v>31.92252832592821</v>
      </c>
      <c r="X3" s="6" t="n">
        <v>80.97934624656045</v>
      </c>
    </row>
    <row r="4">
      <c r="A4" t="n">
        <v>28.5</v>
      </c>
      <c r="B4" t="n">
        <v>0.5</v>
      </c>
      <c r="C4" s="4" t="n">
        <v>6.406235397136205</v>
      </c>
      <c r="D4" s="4" t="n">
        <v>0.04655660929806697</v>
      </c>
      <c r="E4" s="4" t="n">
        <v>7.793137789408381</v>
      </c>
      <c r="F4" s="4" t="n">
        <v>0.04655660929806697</v>
      </c>
      <c r="G4" s="4" t="n">
        <v>7.099686593272294</v>
      </c>
      <c r="H4" s="4" t="n">
        <v>0.04655660929806697</v>
      </c>
      <c r="I4" s="4" t="n">
        <v>1.386902392272176</v>
      </c>
      <c r="J4" s="4" t="n">
        <v>0.09311321859613395</v>
      </c>
      <c r="K4" s="4" t="n">
        <v>19.69314464118408</v>
      </c>
      <c r="L4" s="4" t="n">
        <v>1.322149339446809</v>
      </c>
      <c r="M4" s="4" t="n">
        <v>-3.557851191707532</v>
      </c>
      <c r="N4" s="4" t="n">
        <v>0.01754385964912281</v>
      </c>
      <c r="O4" s="4" t="n">
        <v>2.980270587425</v>
      </c>
      <c r="P4" s="4" t="n">
        <v>0.06713754271025925</v>
      </c>
      <c r="Q4" s="5" t="n">
        <v>3.70287772123518e-07</v>
      </c>
      <c r="R4" s="5" t="n">
        <v>5.734159463563626e-08</v>
      </c>
      <c r="S4" s="6" t="n">
        <v>0.479854183165396</v>
      </c>
      <c r="T4" s="6" t="n">
        <v>0.6757422531056462</v>
      </c>
      <c r="U4" s="6" t="n">
        <v>0.5470782901257361</v>
      </c>
      <c r="V4" s="6" t="n">
        <v>0.6447785630826749</v>
      </c>
      <c r="W4" s="6" t="n">
        <v>27.53169099528301</v>
      </c>
      <c r="X4" s="6" t="n">
        <v>30.53849248093219</v>
      </c>
    </row>
    <row r="5">
      <c r="A5" t="n">
        <v>31</v>
      </c>
      <c r="B5" t="n">
        <v>0.5</v>
      </c>
      <c r="C5" s="4" t="n">
        <v>6.410332803643963</v>
      </c>
      <c r="D5" s="4" t="n">
        <v>0.04292517894894167</v>
      </c>
      <c r="E5" s="4" t="n">
        <v>7.517362274293975</v>
      </c>
      <c r="F5" s="4" t="n">
        <v>0.04292517894894167</v>
      </c>
      <c r="G5" s="4" t="n">
        <v>6.963847538968969</v>
      </c>
      <c r="H5" s="4" t="n">
        <v>0.04292517894894167</v>
      </c>
      <c r="I5" s="4" t="n">
        <v>1.107029470650012</v>
      </c>
      <c r="J5" s="4" t="n">
        <v>0.08585035789788334</v>
      </c>
      <c r="K5" s="4" t="n">
        <v>15.41836890950442</v>
      </c>
      <c r="L5" s="4" t="n">
        <v>1.19569760713356</v>
      </c>
      <c r="M5" s="4" t="n">
        <v>-3.473768074496991</v>
      </c>
      <c r="N5" s="4" t="n">
        <v>0.01612903225806452</v>
      </c>
      <c r="O5" s="4" t="n">
        <v>2.735559584946592</v>
      </c>
      <c r="P5" s="4" t="n">
        <v>0.07755020094223397</v>
      </c>
      <c r="Q5" s="5" t="n">
        <v>4.414148116839072e-07</v>
      </c>
      <c r="R5" s="5" t="n">
        <v>6.982977602915144e-08</v>
      </c>
      <c r="S5" s="6" t="n">
        <v>0.3752124826375991</v>
      </c>
      <c r="T5" s="6" t="n">
        <v>0.7271603571268076</v>
      </c>
      <c r="U5" s="6" t="n">
        <v>0.5767772841734614</v>
      </c>
      <c r="V5" s="6" t="n">
        <v>0.7033151557738191</v>
      </c>
      <c r="W5" s="6" t="n">
        <v>27.92946347387419</v>
      </c>
      <c r="X5" s="6" t="n">
        <v>32.0523425011025</v>
      </c>
    </row>
    <row r="6">
      <c r="A6" t="n">
        <v>33.5</v>
      </c>
      <c r="B6" t="n">
        <v>0.5</v>
      </c>
      <c r="C6" s="4" t="n">
        <v>6.403704485319071</v>
      </c>
      <c r="D6" s="4" t="n">
        <v>0.03121820139479923</v>
      </c>
      <c r="E6" s="4" t="n">
        <v>7.209964104217522</v>
      </c>
      <c r="F6" s="4" t="n">
        <v>0.03121820139479923</v>
      </c>
      <c r="G6" s="4" t="n">
        <v>6.806834294768296</v>
      </c>
      <c r="H6" s="4" t="n">
        <v>0.03121820139479923</v>
      </c>
      <c r="I6" s="4" t="n">
        <v>0.8062596188984514</v>
      </c>
      <c r="J6" s="4" t="n">
        <v>0.06243640278959846</v>
      </c>
      <c r="K6" s="4" t="n">
        <v>10.97615124880959</v>
      </c>
      <c r="L6" s="4" t="n">
        <v>0.8499884955004116</v>
      </c>
      <c r="M6" s="4" t="n">
        <v>-3.396209840151116</v>
      </c>
      <c r="N6" s="4" t="n">
        <v>0.01492537313432836</v>
      </c>
      <c r="O6" s="4" t="n">
        <v>2.395724850845729</v>
      </c>
      <c r="P6" s="4" t="n">
        <v>0.07743957569759219</v>
      </c>
      <c r="Q6" s="5" t="n">
        <v>4.630992931014762e-07</v>
      </c>
      <c r="R6" s="5" t="n">
        <v>7.042186150254934e-08</v>
      </c>
      <c r="S6" s="6" t="n">
        <v>0.2676624929905032</v>
      </c>
      <c r="T6" s="6" t="n">
        <v>0.7888535044063119</v>
      </c>
      <c r="U6" s="6" t="n">
        <v>0.5722012344965985</v>
      </c>
      <c r="V6" s="6" t="n">
        <v>0.7754534075608954</v>
      </c>
      <c r="W6" s="6" t="n">
        <v>25.28976617723058</v>
      </c>
      <c r="X6" s="6" t="n">
        <v>34.46762453292911</v>
      </c>
    </row>
    <row r="7">
      <c r="A7" t="n">
        <v>36</v>
      </c>
      <c r="B7" t="n">
        <v>0.5</v>
      </c>
      <c r="C7" s="4" t="n">
        <v>6.402413624693764</v>
      </c>
      <c r="D7" s="4" t="n">
        <v>0.02463119047457745</v>
      </c>
      <c r="E7" s="4" t="n">
        <v>6.977991791160238</v>
      </c>
      <c r="F7" s="4" t="n">
        <v>0.02463119047457745</v>
      </c>
      <c r="G7" s="4" t="n">
        <v>6.690202707927002</v>
      </c>
      <c r="H7" s="4" t="n">
        <v>0.02463119047457745</v>
      </c>
      <c r="I7" s="4" t="n">
        <v>0.5755781664664736</v>
      </c>
      <c r="J7" s="4" t="n">
        <v>0.0492623809491549</v>
      </c>
      <c r="K7" s="4" t="n">
        <v>7.701469215835317</v>
      </c>
      <c r="L7" s="4" t="n">
        <v>0.6591506288499352</v>
      </c>
      <c r="M7" s="4" t="n">
        <v>-3.324236340526027</v>
      </c>
      <c r="N7" s="4" t="n">
        <v>0.01388888888888889</v>
      </c>
      <c r="O7" s="4" t="n">
        <v>2.04141111790959</v>
      </c>
      <c r="P7" s="4" t="n">
        <v>0.08558764702904061</v>
      </c>
      <c r="Q7" s="5" t="n">
        <v>4.656783930632802e-07</v>
      </c>
      <c r="R7" s="5" t="n">
        <v>7.219509523061198e-08</v>
      </c>
      <c r="S7" s="6" t="n">
        <v>0.1878824122961067</v>
      </c>
      <c r="T7" s="6" t="n">
        <v>0.8418341661167109</v>
      </c>
      <c r="U7" s="6" t="n">
        <v>0.5460872594256155</v>
      </c>
      <c r="V7" s="6" t="n">
        <v>0.8351051091059322</v>
      </c>
      <c r="W7" s="6" t="n">
        <v>24.04859957043197</v>
      </c>
      <c r="X7" s="6" t="n">
        <v>37.72542555002074</v>
      </c>
    </row>
    <row r="8">
      <c r="A8" t="n">
        <v>39</v>
      </c>
      <c r="B8" t="n">
        <v>0.5</v>
      </c>
      <c r="C8" s="4" t="n">
        <v>6.400065169209867</v>
      </c>
      <c r="D8" s="4" t="n">
        <v>0.01646381007550565</v>
      </c>
      <c r="E8" s="4" t="n">
        <v>6.802100199503945</v>
      </c>
      <c r="F8" s="4" t="n">
        <v>0.01646381007550565</v>
      </c>
      <c r="G8" s="4" t="n">
        <v>6.601082684356906</v>
      </c>
      <c r="H8" s="4" t="n">
        <v>0.01646381007550565</v>
      </c>
      <c r="I8" s="4" t="n">
        <v>0.4020350302940781</v>
      </c>
      <c r="J8" s="4" t="n">
        <v>0.0329276201510113</v>
      </c>
      <c r="K8" s="4" t="n">
        <v>5.307732953958286</v>
      </c>
      <c r="L8" s="4" t="n">
        <v>0.4347158864318444</v>
      </c>
      <c r="M8" s="4" t="n">
        <v>-3.244193632852491</v>
      </c>
      <c r="N8" s="4" t="n">
        <v>0.01282051282051282</v>
      </c>
      <c r="O8" s="4" t="n">
        <v>1.669164805098541</v>
      </c>
      <c r="P8" s="4" t="n">
        <v>0.08190236588818046</v>
      </c>
      <c r="Q8" s="5" t="n">
        <v>4.788859542767902e-07</v>
      </c>
      <c r="R8" s="5" t="n">
        <v>6.991971022773365e-08</v>
      </c>
      <c r="S8" s="6" t="n">
        <v>0.1295806850981669</v>
      </c>
      <c r="T8" s="6" t="n">
        <v>0.8852842591878192</v>
      </c>
      <c r="U8" s="6" t="n">
        <v>0.4803595495522275</v>
      </c>
      <c r="V8" s="6" t="n">
        <v>0.8933286540990226</v>
      </c>
      <c r="W8" s="6" t="n">
        <v>25.07784953058623</v>
      </c>
      <c r="X8" s="6" t="n">
        <v>41.28642453374873</v>
      </c>
    </row>
    <row r="9">
      <c r="A9" t="n">
        <v>42</v>
      </c>
      <c r="B9" t="n">
        <v>0.5</v>
      </c>
      <c r="C9" s="4" t="n">
        <v>6.394704934099551</v>
      </c>
      <c r="D9" s="4" t="n">
        <v>0.01242792160662344</v>
      </c>
      <c r="E9" s="4" t="n">
        <v>6.685999325576625</v>
      </c>
      <c r="F9" s="4" t="n">
        <v>0.01242792160662344</v>
      </c>
      <c r="G9" s="4" t="n">
        <v>6.540352129838088</v>
      </c>
      <c r="H9" s="4" t="n">
        <v>0.01242792160662344</v>
      </c>
      <c r="I9" s="4" t="n">
        <v>0.2912943914770736</v>
      </c>
      <c r="J9" s="4" t="n">
        <v>0.02485584321324687</v>
      </c>
      <c r="K9" s="4" t="n">
        <v>3.810335787413933</v>
      </c>
      <c r="L9" s="4" t="n">
        <v>0.3251319341973615</v>
      </c>
      <c r="M9" s="4" t="n">
        <v>-3.170085660698769</v>
      </c>
      <c r="N9" s="4" t="n">
        <v>0.0119047619047619</v>
      </c>
      <c r="O9" s="4" t="n">
        <v>1.337717318434619</v>
      </c>
      <c r="P9" s="4" t="n">
        <v>0.08532894535734024</v>
      </c>
      <c r="Q9" s="5" t="n">
        <v>4.979774783908172e-07</v>
      </c>
      <c r="R9" s="5" t="n">
        <v>7.213340961367809e-08</v>
      </c>
      <c r="S9" s="6" t="n">
        <v>0.09317989780798985</v>
      </c>
      <c r="T9" s="6" t="n">
        <v>0.9147625217086125</v>
      </c>
      <c r="U9" s="6" t="n">
        <v>0.4197229219510153</v>
      </c>
      <c r="V9" s="6" t="n">
        <v>1.035422967113255</v>
      </c>
      <c r="W9" s="6" t="n">
        <v>23.2190818094872</v>
      </c>
      <c r="X9" s="6" t="n">
        <v>44.60718267089221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d / mm</t>
        </is>
      </c>
      <c r="B1" s="3" t="inlineStr">
        <is>
          <t>f2 model (n=5) / Hz</t>
        </is>
      </c>
      <c r="C1" s="3" t="inlineStr">
        <is>
          <t>f1 mean / Hz</t>
        </is>
      </c>
      <c r="D1" s="3" t="inlineStr">
        <is>
          <t>f_beat model / Hz</t>
        </is>
      </c>
      <c r="E1" s="3" t="inlineStr">
        <is>
          <t>f2^2-f1^2 model / Hz^2</t>
        </is>
      </c>
      <c r="F1" s="3" t="inlineStr">
        <is>
          <t>ln d</t>
        </is>
      </c>
      <c r="G1" s="3" t="inlineStr">
        <is>
          <t>ln y best fit</t>
        </is>
      </c>
      <c r="H1" s="3" t="inlineStr">
        <is>
          <t>ln y max gradient</t>
        </is>
      </c>
      <c r="I1" s="3" t="inlineStr">
        <is>
          <t>ln y min gradient</t>
        </is>
      </c>
      <c r="J1" s="3" t="inlineStr">
        <is>
          <t>C (n=5)</t>
        </is>
      </c>
    </row>
    <row r="2">
      <c r="A2" t="n">
        <v>22.05</v>
      </c>
      <c r="B2" t="n">
        <v>10.11386042735113</v>
      </c>
      <c r="C2" t="n">
        <v>6.407026370744838</v>
      </c>
      <c r="D2" t="n">
        <v>3.70683405660629</v>
      </c>
      <c r="E2" t="n">
        <v>61.24018582851939</v>
      </c>
      <c r="F2" t="n">
        <v>-3.759082161431456</v>
      </c>
      <c r="G2" t="n">
        <v>3.754997539408173</v>
      </c>
      <c r="H2" t="n">
        <v>3.617755319542965</v>
      </c>
      <c r="I2" t="n">
        <v>3.690503792586133</v>
      </c>
      <c r="J2" t="n">
        <v>3.192121908445672e-07</v>
      </c>
    </row>
    <row r="3">
      <c r="A3" t="n">
        <v>22.44508474576271</v>
      </c>
      <c r="B3" t="n">
        <v>9.853262064505177</v>
      </c>
      <c r="C3" t="n">
        <v>6.407026370744838</v>
      </c>
      <c r="D3" t="n">
        <v>3.44623569376034</v>
      </c>
      <c r="E3" t="n">
        <v>56.03678639639708</v>
      </c>
      <c r="F3" t="n">
        <v>-3.737047799337225</v>
      </c>
      <c r="G3" t="n">
        <v>3.667454994264061</v>
      </c>
      <c r="H3" t="n">
        <v>3.531020018712692</v>
      </c>
      <c r="I3" t="n">
        <v>3.603928336967563</v>
      </c>
      <c r="J3" t="n">
        <v>3.192121908445672e-07</v>
      </c>
    </row>
    <row r="4">
      <c r="A4" t="n">
        <v>22.84016949152543</v>
      </c>
      <c r="B4" t="n">
        <v>9.612752025747833</v>
      </c>
      <c r="C4" t="n">
        <v>6.407026370744838</v>
      </c>
      <c r="D4" t="n">
        <v>3.205725655002995</v>
      </c>
      <c r="E4" t="n">
        <v>51.35501459309928</v>
      </c>
      <c r="F4" t="n">
        <v>-3.715013437242995</v>
      </c>
      <c r="G4" t="n">
        <v>3.57991244911995</v>
      </c>
      <c r="H4" t="n">
        <v>3.444284717882422</v>
      </c>
      <c r="I4" t="n">
        <v>3.517352881348994</v>
      </c>
      <c r="J4" t="n">
        <v>3.192121908445672e-07</v>
      </c>
    </row>
    <row r="5">
      <c r="A5" t="n">
        <v>23.23525423728814</v>
      </c>
      <c r="B5" t="n">
        <v>9.390679321406781</v>
      </c>
      <c r="C5" t="n">
        <v>6.407026370744838</v>
      </c>
      <c r="D5" t="n">
        <v>2.983652950661943</v>
      </c>
      <c r="E5" t="n">
        <v>47.13487120207714</v>
      </c>
      <c r="F5" t="n">
        <v>-3.692979075148764</v>
      </c>
      <c r="G5" t="n">
        <v>3.492369903975838</v>
      </c>
      <c r="H5" t="n">
        <v>3.357549417052148</v>
      </c>
      <c r="I5" t="n">
        <v>3.430777425730424</v>
      </c>
      <c r="J5" t="n">
        <v>3.192121908445672e-07</v>
      </c>
    </row>
    <row r="6">
      <c r="A6" t="n">
        <v>23.63033898305085</v>
      </c>
      <c r="B6" t="n">
        <v>9.185537705306691</v>
      </c>
      <c r="C6" t="n">
        <v>6.407026370744838</v>
      </c>
      <c r="D6" t="n">
        <v>2.778511334561854</v>
      </c>
      <c r="E6" t="n">
        <v>43.32411602019116</v>
      </c>
      <c r="F6" t="n">
        <v>-3.670944713054533</v>
      </c>
      <c r="G6" t="n">
        <v>3.404827358831728</v>
      </c>
      <c r="H6" t="n">
        <v>3.270814116221876</v>
      </c>
      <c r="I6" t="n">
        <v>3.344201970111856</v>
      </c>
      <c r="J6" t="n">
        <v>3.192121908445672e-07</v>
      </c>
    </row>
    <row r="7">
      <c r="A7" t="n">
        <v>24.02542372881356</v>
      </c>
      <c r="B7" t="n">
        <v>8.99595153475285</v>
      </c>
      <c r="C7" t="n">
        <v>6.407026370744838</v>
      </c>
      <c r="D7" t="n">
        <v>2.588925164008012</v>
      </c>
      <c r="E7" t="n">
        <v>39.8771571002024</v>
      </c>
      <c r="F7" t="n">
        <v>-3.648910350960303</v>
      </c>
      <c r="G7" t="n">
        <v>3.317284813687618</v>
      </c>
      <c r="H7" t="n">
        <v>3.184078815391604</v>
      </c>
      <c r="I7" t="n">
        <v>3.257626514493287</v>
      </c>
      <c r="J7" t="n">
        <v>3.192121908445672e-07</v>
      </c>
    </row>
    <row r="8">
      <c r="A8" t="n">
        <v>24.42050847457627</v>
      </c>
      <c r="B8" t="n">
        <v>8.820663286229234</v>
      </c>
      <c r="C8" t="n">
        <v>6.407026370744838</v>
      </c>
      <c r="D8" t="n">
        <v>2.413636915484396</v>
      </c>
      <c r="E8" t="n">
        <v>36.75411389361256</v>
      </c>
      <c r="F8" t="n">
        <v>-3.626875988866072</v>
      </c>
      <c r="G8" t="n">
        <v>3.229742268543506</v>
      </c>
      <c r="H8" t="n">
        <v>3.097343514561333</v>
      </c>
      <c r="I8" t="n">
        <v>3.171051058874717</v>
      </c>
      <c r="J8" t="n">
        <v>3.192121908445672e-07</v>
      </c>
    </row>
    <row r="9">
      <c r="A9" t="n">
        <v>24.81559322033898</v>
      </c>
      <c r="B9" t="n">
        <v>8.658522490863961</v>
      </c>
      <c r="C9" t="n">
        <v>6.407026370744838</v>
      </c>
      <c r="D9" t="n">
        <v>2.251496120119123</v>
      </c>
      <c r="E9" t="n">
        <v>33.92002480937727</v>
      </c>
      <c r="F9" t="n">
        <v>-3.604841626771842</v>
      </c>
      <c r="G9" t="n">
        <v>3.142199723399393</v>
      </c>
      <c r="H9" t="n">
        <v>3.010608213731059</v>
      </c>
      <c r="I9" t="n">
        <v>3.084475603256147</v>
      </c>
      <c r="J9" t="n">
        <v>3.192121908445672e-07</v>
      </c>
    </row>
    <row r="10">
      <c r="A10" t="n">
        <v>25.2106779661017</v>
      </c>
      <c r="B10" t="n">
        <v>8.508475891118202</v>
      </c>
      <c r="C10" t="n">
        <v>6.407026370744838</v>
      </c>
      <c r="D10" t="n">
        <v>2.101449520373365</v>
      </c>
      <c r="E10" t="n">
        <v>31.34417507431991</v>
      </c>
      <c r="F10" t="n">
        <v>-3.582807264677611</v>
      </c>
      <c r="G10" t="n">
        <v>3.054657178255285</v>
      </c>
      <c r="H10" t="n">
        <v>2.923872912900789</v>
      </c>
      <c r="I10" t="n">
        <v>2.997900147637578</v>
      </c>
      <c r="J10" t="n">
        <v>3.192121908445672e-07</v>
      </c>
    </row>
    <row r="11">
      <c r="A11" t="n">
        <v>25.60576271186441</v>
      </c>
      <c r="B11" t="n">
        <v>8.369558651628946</v>
      </c>
      <c r="C11" t="n">
        <v>6.407026370744838</v>
      </c>
      <c r="D11" t="n">
        <v>1.962532280884108</v>
      </c>
      <c r="E11" t="n">
        <v>28.99952510763718</v>
      </c>
      <c r="F11" t="n">
        <v>-3.560772902583381</v>
      </c>
      <c r="G11" t="n">
        <v>2.967114633111173</v>
      </c>
      <c r="H11" t="n">
        <v>2.837137612070517</v>
      </c>
      <c r="I11" t="n">
        <v>2.911324692019008</v>
      </c>
      <c r="J11" t="n">
        <v>3.192121908445672e-07</v>
      </c>
    </row>
    <row r="12">
      <c r="A12" t="n">
        <v>26.00084745762712</v>
      </c>
      <c r="B12" t="n">
        <v>8.240886483586518</v>
      </c>
      <c r="C12" t="n">
        <v>6.407026370744838</v>
      </c>
      <c r="D12" t="n">
        <v>1.83386011284168</v>
      </c>
      <c r="E12" t="n">
        <v>26.8622231199392</v>
      </c>
      <c r="F12" t="n">
        <v>-3.53873854048915</v>
      </c>
      <c r="G12" t="n">
        <v>2.879572087967061</v>
      </c>
      <c r="H12" t="n">
        <v>2.750402311240244</v>
      </c>
      <c r="I12" t="n">
        <v>2.824749236400439</v>
      </c>
      <c r="J12" t="n">
        <v>3.192121908445672e-07</v>
      </c>
    </row>
    <row r="13">
      <c r="A13" t="n">
        <v>26.39593220338983</v>
      </c>
      <c r="B13" t="n">
        <v>8.12164856421359</v>
      </c>
      <c r="C13" t="n">
        <v>6.407026370744838</v>
      </c>
      <c r="D13" t="n">
        <v>1.714622193468752</v>
      </c>
      <c r="E13" t="n">
        <v>24.9111884851729</v>
      </c>
      <c r="F13" t="n">
        <v>-3.516704178394919</v>
      </c>
      <c r="G13" t="n">
        <v>2.792029542822949</v>
      </c>
      <c r="H13" t="n">
        <v>2.663667010409972</v>
      </c>
      <c r="I13" t="n">
        <v>2.738173780781869</v>
      </c>
      <c r="J13" t="n">
        <v>3.192121908445672e-07</v>
      </c>
    </row>
    <row r="14">
      <c r="A14" t="n">
        <v>26.79101694915254</v>
      </c>
      <c r="B14" t="n">
        <v>8.011101151476835</v>
      </c>
      <c r="C14" t="n">
        <v>6.407026370744838</v>
      </c>
      <c r="D14" t="n">
        <v>1.604074780731997</v>
      </c>
      <c r="E14" t="n">
        <v>23.1277547437737</v>
      </c>
      <c r="F14" t="n">
        <v>-3.494669816300689</v>
      </c>
      <c r="G14" t="n">
        <v>2.704486997678838</v>
      </c>
      <c r="H14" t="n">
        <v>2.5769317095797</v>
      </c>
      <c r="I14" t="n">
        <v>2.651598325163301</v>
      </c>
      <c r="J14" t="n">
        <v>3.192121908445672e-07</v>
      </c>
    </row>
    <row r="15">
      <c r="A15" t="n">
        <v>27.18610169491525</v>
      </c>
      <c r="B15" t="n">
        <v>7.908561809656328</v>
      </c>
      <c r="C15" t="n">
        <v>6.407026370744838</v>
      </c>
      <c r="D15" t="n">
        <v>1.501535438911491</v>
      </c>
      <c r="E15" t="n">
        <v>21.49536298173481</v>
      </c>
      <c r="F15" t="n">
        <v>-3.472635454206458</v>
      </c>
      <c r="G15" t="n">
        <v>2.616944452534728</v>
      </c>
      <c r="H15" t="n">
        <v>2.490196408749428</v>
      </c>
      <c r="I15" t="n">
        <v>2.56502286954473</v>
      </c>
      <c r="J15" t="n">
        <v>3.192121908445672e-07</v>
      </c>
    </row>
    <row r="16">
      <c r="A16" t="n">
        <v>27.58118644067797</v>
      </c>
      <c r="B16" t="n">
        <v>7.813404174295613</v>
      </c>
      <c r="C16" t="n">
        <v>6.407026370744838</v>
      </c>
      <c r="D16" t="n">
        <v>1.406377803550775</v>
      </c>
      <c r="E16" t="n">
        <v>19.99929787548034</v>
      </c>
      <c r="F16" t="n">
        <v>-3.450601092112227</v>
      </c>
      <c r="G16" t="n">
        <v>2.529401907390616</v>
      </c>
      <c r="H16" t="n">
        <v>2.403461107919155</v>
      </c>
      <c r="I16" t="n">
        <v>2.47844741392616</v>
      </c>
      <c r="J16" t="n">
        <v>3.192121908445672e-07</v>
      </c>
    </row>
    <row r="17">
      <c r="A17" t="n">
        <v>27.97627118644068</v>
      </c>
      <c r="B17" t="n">
        <v>7.725053195766677</v>
      </c>
      <c r="C17" t="n">
        <v>6.407026370744838</v>
      </c>
      <c r="D17" t="n">
        <v>1.31802682502184</v>
      </c>
      <c r="E17" t="n">
        <v>18.62645996200518</v>
      </c>
      <c r="F17" t="n">
        <v>-3.428566730017997</v>
      </c>
      <c r="G17" t="n">
        <v>2.441859362246506</v>
      </c>
      <c r="H17" t="n">
        <v>2.316725807088885</v>
      </c>
      <c r="I17" t="n">
        <v>2.391871958307592</v>
      </c>
      <c r="J17" t="n">
        <v>3.192121908445672e-07</v>
      </c>
    </row>
    <row r="18">
      <c r="A18" t="n">
        <v>28.37135593220339</v>
      </c>
      <c r="B18" t="n">
        <v>7.64298080956284</v>
      </c>
      <c r="C18" t="n">
        <v>6.407026370744838</v>
      </c>
      <c r="D18" t="n">
        <v>1.235954438818003</v>
      </c>
      <c r="E18" t="n">
        <v>17.36516873992608</v>
      </c>
      <c r="F18" t="n">
        <v>-3.406532367923766</v>
      </c>
      <c r="G18" t="n">
        <v>2.354316817102394</v>
      </c>
      <c r="H18" t="n">
        <v>2.229990506258611</v>
      </c>
      <c r="I18" t="n">
        <v>2.305296502689023</v>
      </c>
      <c r="J18" t="n">
        <v>3.192121908445672e-07</v>
      </c>
    </row>
    <row r="19">
      <c r="A19" t="n">
        <v>28.7664406779661</v>
      </c>
      <c r="B19" t="n">
        <v>7.56670198878344</v>
      </c>
      <c r="C19" t="n">
        <v>6.407026370744838</v>
      </c>
      <c r="D19" t="n">
        <v>1.159675618038603</v>
      </c>
      <c r="E19" t="n">
        <v>16.2049920716395</v>
      </c>
      <c r="F19" t="n">
        <v>-3.384498005829536</v>
      </c>
      <c r="G19" t="n">
        <v>2.266774271958282</v>
      </c>
      <c r="H19" t="n">
        <v>2.143255205428339</v>
      </c>
      <c r="I19" t="n">
        <v>2.218721047070453</v>
      </c>
      <c r="J19" t="n">
        <v>3.192121908445672e-07</v>
      </c>
    </row>
    <row r="20">
      <c r="A20" t="n">
        <v>29.16152542372881</v>
      </c>
      <c r="B20" t="n">
        <v>7.495771140358475</v>
      </c>
      <c r="C20" t="n">
        <v>6.407026370744838</v>
      </c>
      <c r="D20" t="n">
        <v>1.088744769613638</v>
      </c>
      <c r="E20" t="n">
        <v>15.13659807321123</v>
      </c>
      <c r="F20" t="n">
        <v>-3.362463643735305</v>
      </c>
      <c r="G20" t="n">
        <v>2.179231726814173</v>
      </c>
      <c r="H20" t="n">
        <v>2.056519904598067</v>
      </c>
      <c r="I20" t="n">
        <v>2.132145591451884</v>
      </c>
      <c r="J20" t="n">
        <v>3.192121908445672e-07</v>
      </c>
    </row>
    <row r="21">
      <c r="A21" t="n">
        <v>29.55661016949153</v>
      </c>
      <c r="B21" t="n">
        <v>7.429778811601614</v>
      </c>
      <c r="C21" t="n">
        <v>6.407026370744838</v>
      </c>
      <c r="D21" t="n">
        <v>1.022752440856777</v>
      </c>
      <c r="E21" t="n">
        <v>14.15162627390453</v>
      </c>
      <c r="F21" t="n">
        <v>-3.340429281641075</v>
      </c>
      <c r="G21" t="n">
        <v>2.091689181670061</v>
      </c>
      <c r="H21" t="n">
        <v>1.969784603767796</v>
      </c>
      <c r="I21" t="n">
        <v>2.045570135833314</v>
      </c>
      <c r="J21" t="n">
        <v>3.192121908445672e-07</v>
      </c>
    </row>
    <row r="22">
      <c r="A22" t="n">
        <v>29.95169491525424</v>
      </c>
      <c r="B22" t="n">
        <v>7.368348677864165</v>
      </c>
      <c r="C22" t="n">
        <v>6.407026370744838</v>
      </c>
      <c r="D22" t="n">
        <v>0.9613223071193273</v>
      </c>
      <c r="E22" t="n">
        <v>13.24257532316282</v>
      </c>
      <c r="F22" t="n">
        <v>-3.318394919546844</v>
      </c>
      <c r="G22" t="n">
        <v>2.004146636525949</v>
      </c>
      <c r="H22" t="n">
        <v>1.883049302937522</v>
      </c>
      <c r="I22" t="n">
        <v>1.958994680214744</v>
      </c>
      <c r="J22" t="n">
        <v>3.192121908445672e-07</v>
      </c>
    </row>
    <row r="23">
      <c r="A23" t="n">
        <v>30.34677966101695</v>
      </c>
      <c r="B23" t="n">
        <v>7.311134785548641</v>
      </c>
      <c r="C23" t="n">
        <v>6.407026370744838</v>
      </c>
      <c r="D23" t="n">
        <v>0.9041084148038037</v>
      </c>
      <c r="E23" t="n">
        <v>12.40270493703962</v>
      </c>
      <c r="F23" t="n">
        <v>-3.296360557452614</v>
      </c>
      <c r="G23" t="n">
        <v>1.916604091381839</v>
      </c>
      <c r="H23" t="n">
        <v>1.796314002107252</v>
      </c>
      <c r="I23" t="n">
        <v>1.872419224596175</v>
      </c>
      <c r="J23" t="n">
        <v>3.192121908445672e-07</v>
      </c>
    </row>
    <row r="24">
      <c r="A24" t="n">
        <v>30.74186440677966</v>
      </c>
      <c r="B24" t="n">
        <v>7.257819027659322</v>
      </c>
      <c r="C24" t="n">
        <v>6.407026370744838</v>
      </c>
      <c r="D24" t="n">
        <v>0.8507926569144848</v>
      </c>
      <c r="E24" t="n">
        <v>11.62595012283395</v>
      </c>
      <c r="F24" t="n">
        <v>-3.274326195358383</v>
      </c>
      <c r="G24" t="n">
        <v>1.829061546237728</v>
      </c>
      <c r="H24" t="n">
        <v>1.709578701276978</v>
      </c>
      <c r="I24" t="n">
        <v>1.785843768977605</v>
      </c>
      <c r="J24" t="n">
        <v>3.192121908445672e-07</v>
      </c>
    </row>
    <row r="25">
      <c r="A25" t="n">
        <v>31.13694915254237</v>
      </c>
      <c r="B25" t="n">
        <v>7.208108831526873</v>
      </c>
      <c r="C25" t="n">
        <v>6.407026370744838</v>
      </c>
      <c r="D25" t="n">
        <v>0.8010824607820357</v>
      </c>
      <c r="E25" t="n">
        <v>10.90684601171594</v>
      </c>
      <c r="F25" t="n">
        <v>-3.252291833264152</v>
      </c>
      <c r="G25" t="n">
        <v>1.741519001093616</v>
      </c>
      <c r="H25" t="n">
        <v>1.622843400446706</v>
      </c>
      <c r="I25" t="n">
        <v>1.699268313359036</v>
      </c>
      <c r="J25" t="n">
        <v>3.192121908445672e-07</v>
      </c>
    </row>
    <row r="26">
      <c r="A26" t="n">
        <v>31.53203389830509</v>
      </c>
      <c r="B26" t="n">
        <v>7.161735040432744</v>
      </c>
      <c r="C26" t="n">
        <v>6.407026370744838</v>
      </c>
      <c r="D26" t="n">
        <v>0.7547086696879068</v>
      </c>
      <c r="E26" t="n">
        <v>10.24046187394245</v>
      </c>
      <c r="F26" t="n">
        <v>-3.230257471169922</v>
      </c>
      <c r="G26" t="n">
        <v>1.653976455949504</v>
      </c>
      <c r="H26" t="n">
        <v>1.536108099616435</v>
      </c>
      <c r="I26" t="n">
        <v>1.612692857740466</v>
      </c>
      <c r="J26" t="n">
        <v>3.192121908445672e-07</v>
      </c>
    </row>
    <row r="27">
      <c r="A27" t="n">
        <v>31.9271186440678</v>
      </c>
      <c r="B27" t="n">
        <v>7.118449972648182</v>
      </c>
      <c r="C27" t="n">
        <v>6.407026370744838</v>
      </c>
      <c r="D27" t="n">
        <v>0.7114236019033449</v>
      </c>
      <c r="E27" t="n">
        <v>9.62234309767514</v>
      </c>
      <c r="F27" t="n">
        <v>-3.208223109075691</v>
      </c>
      <c r="G27" t="n">
        <v>1.566433910805394</v>
      </c>
      <c r="H27" t="n">
        <v>1.449372798786163</v>
      </c>
      <c r="I27" t="n">
        <v>1.526117402121898</v>
      </c>
      <c r="J27" t="n">
        <v>3.192121908445672e-07</v>
      </c>
    </row>
    <row r="28">
      <c r="A28" t="n">
        <v>32.32220338983051</v>
      </c>
      <c r="B28" t="n">
        <v>7.078025642949516</v>
      </c>
      <c r="C28" t="n">
        <v>6.407026370744838</v>
      </c>
      <c r="D28" t="n">
        <v>0.6709992722046785</v>
      </c>
      <c r="E28" t="n">
        <v>9.04846008683114</v>
      </c>
      <c r="F28" t="n">
        <v>-3.186188746981461</v>
      </c>
      <c r="G28" t="n">
        <v>1.478891365661282</v>
      </c>
      <c r="H28" t="n">
        <v>1.362637497955891</v>
      </c>
      <c r="I28" t="n">
        <v>1.439541946503327</v>
      </c>
      <c r="J28" t="n">
        <v>3.192121908445672e-07</v>
      </c>
    </row>
    <row r="29">
      <c r="A29" t="n">
        <v>32.71728813559322</v>
      </c>
      <c r="B29" t="n">
        <v>7.040252133021814</v>
      </c>
      <c r="C29" t="n">
        <v>6.407026370744838</v>
      </c>
      <c r="D29" t="n">
        <v>0.6332257622769761</v>
      </c>
      <c r="E29" t="n">
        <v>8.515163181098432</v>
      </c>
      <c r="F29" t="n">
        <v>-3.16415438488723</v>
      </c>
      <c r="G29" t="n">
        <v>1.391348820517173</v>
      </c>
      <c r="H29" t="n">
        <v>1.275902197125619</v>
      </c>
      <c r="I29" t="n">
        <v>1.352966490884759</v>
      </c>
      <c r="J29" t="n">
        <v>3.192121908445672e-07</v>
      </c>
    </row>
    <row r="30">
      <c r="A30" t="n">
        <v>33.11237288135593</v>
      </c>
      <c r="B30" t="n">
        <v>7.004936098352989</v>
      </c>
      <c r="C30" t="n">
        <v>6.407026370744838</v>
      </c>
      <c r="D30" t="n">
        <v>0.5979097276081511</v>
      </c>
      <c r="E30" t="n">
        <v>8.019142826589029</v>
      </c>
      <c r="F30" t="n">
        <v>-3.142120022793</v>
      </c>
      <c r="G30" t="n">
        <v>1.303806275373061</v>
      </c>
      <c r="H30" t="n">
        <v>1.189166896295347</v>
      </c>
      <c r="I30" t="n">
        <v>1.266391035266189</v>
      </c>
      <c r="J30" t="n">
        <v>3.192121908445672e-07</v>
      </c>
    </row>
    <row r="31">
      <c r="A31" t="n">
        <v>33.50745762711864</v>
      </c>
      <c r="B31" t="n">
        <v>6.971899400278677</v>
      </c>
      <c r="C31" t="n">
        <v>6.407026370744838</v>
      </c>
      <c r="D31" t="n">
        <v>0.5648730295338398</v>
      </c>
      <c r="E31" t="n">
        <v>7.557394332186419</v>
      </c>
      <c r="F31" t="n">
        <v>-3.120085660698769</v>
      </c>
      <c r="G31" t="n">
        <v>1.216263730228949</v>
      </c>
      <c r="H31" t="n">
        <v>1.102431595465074</v>
      </c>
      <c r="I31" t="n">
        <v>1.17981557964762</v>
      </c>
      <c r="J31" t="n">
        <v>3.192121908445672e-07</v>
      </c>
    </row>
    <row r="32">
      <c r="A32" t="n">
        <v>33.90254237288136</v>
      </c>
      <c r="B32" t="n">
        <v>6.940977852786895</v>
      </c>
      <c r="C32" t="n">
        <v>6.407026370744838</v>
      </c>
      <c r="D32" t="n">
        <v>0.5339514820420579</v>
      </c>
      <c r="E32" t="n">
        <v>7.127186637458413</v>
      </c>
      <c r="J32" t="n">
        <v>3.192121908445672e-07</v>
      </c>
    </row>
    <row r="33">
      <c r="A33" t="n">
        <v>34.29762711864407</v>
      </c>
      <c r="B33" t="n">
        <v>6.912020074548129</v>
      </c>
      <c r="C33" t="n">
        <v>6.407026370744838</v>
      </c>
      <c r="D33" t="n">
        <v>0.504993703803291</v>
      </c>
      <c r="E33" t="n">
        <v>6.726034595536547</v>
      </c>
      <c r="J33" t="n">
        <v>3.192121908445672e-07</v>
      </c>
    </row>
    <row r="34">
      <c r="A34" t="n">
        <v>34.69271186440678</v>
      </c>
      <c r="B34" t="n">
        <v>6.884886437414707</v>
      </c>
      <c r="C34" t="n">
        <v>6.407026370744838</v>
      </c>
      <c r="D34" t="n">
        <v>0.4778600666698694</v>
      </c>
      <c r="E34" t="n">
        <v>6.351674340677203</v>
      </c>
      <c r="J34" t="n">
        <v>3.192121908445672e-07</v>
      </c>
    </row>
    <row r="35">
      <c r="A35" t="n">
        <v>35.08779661016949</v>
      </c>
      <c r="B35" t="n">
        <v>6.859448103343817</v>
      </c>
      <c r="C35" t="n">
        <v>6.407026370744838</v>
      </c>
      <c r="D35" t="n">
        <v>0.452421732598979</v>
      </c>
      <c r="E35" t="n">
        <v>6.002041367047311</v>
      </c>
      <c r="J35" t="n">
        <v>3.192121908445672e-07</v>
      </c>
    </row>
    <row r="36">
      <c r="A36" t="n">
        <v>35.48288135593221</v>
      </c>
      <c r="B36" t="n">
        <v>6.835586142349599</v>
      </c>
      <c r="C36" t="n">
        <v>6.407026370744838</v>
      </c>
      <c r="D36" t="n">
        <v>0.4285597716047613</v>
      </c>
      <c r="E36" t="n">
        <v>5.675250994062103</v>
      </c>
      <c r="J36" t="n">
        <v>3.192121908445672e-07</v>
      </c>
    </row>
    <row r="37">
      <c r="A37" t="n">
        <v>35.87796610169492</v>
      </c>
      <c r="B37" t="n">
        <v>6.813190724688317</v>
      </c>
      <c r="C37" t="n">
        <v>6.407026370744838</v>
      </c>
      <c r="D37" t="n">
        <v>0.4061643539434794</v>
      </c>
      <c r="E37" t="n">
        <v>5.369580935559151</v>
      </c>
      <c r="J37" t="n">
        <v>3.192121908445672e-07</v>
      </c>
    </row>
    <row r="38">
      <c r="A38" t="n">
        <v>36.27305084745763</v>
      </c>
      <c r="B38" t="n">
        <v>6.792160381031732</v>
      </c>
      <c r="C38" t="n">
        <v>6.407026370744838</v>
      </c>
      <c r="D38" t="n">
        <v>0.3851340102868948</v>
      </c>
      <c r="E38" t="n">
        <v>5.08345572623736</v>
      </c>
      <c r="J38" t="n">
        <v>3.192121908445672e-07</v>
      </c>
    </row>
    <row r="39">
      <c r="A39" t="n">
        <v>36.66813559322034</v>
      </c>
      <c r="B39" t="n">
        <v>6.772401324892222</v>
      </c>
      <c r="C39" t="n">
        <v>6.407026370744838</v>
      </c>
      <c r="D39" t="n">
        <v>0.3653749541473843</v>
      </c>
      <c r="E39" t="n">
        <v>4.815432789982164</v>
      </c>
      <c r="J39" t="n">
        <v>3.192121908445672e-07</v>
      </c>
    </row>
    <row r="40">
      <c r="A40" t="n">
        <v>37.06322033898305</v>
      </c>
      <c r="B40" t="n">
        <v>6.753826832032291</v>
      </c>
      <c r="C40" t="n">
        <v>6.407026370744838</v>
      </c>
      <c r="D40" t="n">
        <v>0.3468004612874536</v>
      </c>
      <c r="E40" t="n">
        <v>4.564189961659574</v>
      </c>
      <c r="J40" t="n">
        <v>3.192121908445672e-07</v>
      </c>
    </row>
    <row r="41">
      <c r="A41" t="n">
        <v>37.45830508474576</v>
      </c>
      <c r="B41" t="n">
        <v>6.73635667202422</v>
      </c>
      <c r="C41" t="n">
        <v>6.407026370744838</v>
      </c>
      <c r="D41" t="n">
        <v>0.3293303012793825</v>
      </c>
      <c r="E41" t="n">
        <v>4.328514297305459</v>
      </c>
      <c r="J41" t="n">
        <v>3.192121908445672e-07</v>
      </c>
    </row>
    <row r="42">
      <c r="A42" t="n">
        <v>37.85338983050848</v>
      </c>
      <c r="B42" t="n">
        <v>6.719916587525359</v>
      </c>
      <c r="C42" t="n">
        <v>6.407026370744838</v>
      </c>
      <c r="D42" t="n">
        <v>0.312890216780521</v>
      </c>
      <c r="E42" t="n">
        <v>4.107292027878701</v>
      </c>
      <c r="J42" t="n">
        <v>3.192121908445672e-07</v>
      </c>
    </row>
    <row r="43">
      <c r="A43" t="n">
        <v>38.24847457627119</v>
      </c>
      <c r="B43" t="n">
        <v>6.704437817203416</v>
      </c>
      <c r="C43" t="n">
        <v>6.407026370744838</v>
      </c>
      <c r="D43" t="n">
        <v>0.297411446458578</v>
      </c>
      <c r="E43" t="n">
        <v>3.899499529327536</v>
      </c>
      <c r="J43" t="n">
        <v>3.192121908445672e-07</v>
      </c>
    </row>
    <row r="44">
      <c r="A44" t="n">
        <v>38.64355932203389</v>
      </c>
      <c r="B44" t="n">
        <v>6.689856658586199</v>
      </c>
      <c r="C44" t="n">
        <v>6.407026370744838</v>
      </c>
      <c r="D44" t="n">
        <v>0.2828302878413611</v>
      </c>
      <c r="E44" t="n">
        <v>3.704195197010328</v>
      </c>
      <c r="J44" t="n">
        <v>3.192121908445672e-07</v>
      </c>
    </row>
    <row r="45">
      <c r="A45" t="n">
        <v>39.03864406779661</v>
      </c>
      <c r="B45" t="n">
        <v>6.676114067423707</v>
      </c>
      <c r="C45" t="n">
        <v>6.407026370744838</v>
      </c>
      <c r="D45" t="n">
        <v>0.2690876966788691</v>
      </c>
      <c r="E45" t="n">
        <v>3.520512125832942</v>
      </c>
      <c r="J45" t="n">
        <v>3.192121908445672e-07</v>
      </c>
    </row>
    <row r="46">
      <c r="A46" t="n">
        <v>39.43372881355933</v>
      </c>
      <c r="B46" t="n">
        <v>6.663155290439029</v>
      </c>
      <c r="C46" t="n">
        <v>6.407026370744838</v>
      </c>
      <c r="D46" t="n">
        <v>0.2561289196941914</v>
      </c>
      <c r="E46" t="n">
        <v>3.347651509085847</v>
      </c>
      <c r="J46" t="n">
        <v>3.192121908445672e-07</v>
      </c>
    </row>
    <row r="47">
      <c r="A47" t="n">
        <v>39.82881355932203</v>
      </c>
      <c r="B47" t="n">
        <v>6.650929528609947</v>
      </c>
      <c r="C47" t="n">
        <v>6.407026370744838</v>
      </c>
      <c r="D47" t="n">
        <v>0.2439031578651099</v>
      </c>
      <c r="E47" t="n">
        <v>3.184876679115975</v>
      </c>
      <c r="J47" t="n">
        <v>3.192121908445672e-07</v>
      </c>
    </row>
    <row r="48">
      <c r="A48" t="n">
        <v>40.22389830508475</v>
      </c>
      <c r="B48" t="n">
        <v>6.639389628367188</v>
      </c>
      <c r="C48" t="n">
        <v>6.407026370744838</v>
      </c>
      <c r="D48" t="n">
        <v>0.2323632576223504</v>
      </c>
      <c r="E48" t="n">
        <v>3.031507721850027</v>
      </c>
      <c r="J48" t="n">
        <v>3.192121908445672e-07</v>
      </c>
    </row>
    <row r="49">
      <c r="A49" t="n">
        <v>40.61898305084746</v>
      </c>
      <c r="B49" t="n">
        <v>6.628491798319269</v>
      </c>
      <c r="C49" t="n">
        <v>6.407026370744838</v>
      </c>
      <c r="D49" t="n">
        <v>0.2214654275744312</v>
      </c>
      <c r="E49" t="n">
        <v>2.886916604966056</v>
      </c>
      <c r="J49" t="n">
        <v>3.192121908445672e-07</v>
      </c>
    </row>
    <row r="50">
      <c r="A50" t="n">
        <v>41.01406779661017</v>
      </c>
      <c r="B50" t="n">
        <v>6.618195349319537</v>
      </c>
      <c r="C50" t="n">
        <v>6.407026370744838</v>
      </c>
      <c r="D50" t="n">
        <v>0.2111689785746993</v>
      </c>
      <c r="E50" t="n">
        <v>2.750522766334984</v>
      </c>
      <c r="J50" t="n">
        <v>3.192121908445672e-07</v>
      </c>
    </row>
    <row r="51">
      <c r="A51" t="n">
        <v>41.40915254237288</v>
      </c>
      <c r="B51" t="n">
        <v>6.608462455879437</v>
      </c>
      <c r="C51" t="n">
        <v>6.407026370744838</v>
      </c>
      <c r="D51" t="n">
        <v>0.2014360851345991</v>
      </c>
      <c r="E51" t="n">
        <v>2.621789115348315</v>
      </c>
      <c r="J51" t="n">
        <v>3.192121908445672e-07</v>
      </c>
    </row>
    <row r="52">
      <c r="A52" t="n">
        <v>41.8042372881356</v>
      </c>
      <c r="B52" t="n">
        <v>6.599257937104755</v>
      </c>
      <c r="C52" t="n">
        <v>6.407026370744838</v>
      </c>
      <c r="D52" t="n">
        <v>0.1922315663599177</v>
      </c>
      <c r="E52" t="n">
        <v>2.500218405020345</v>
      </c>
      <c r="J52" t="n">
        <v>3.192121908445672e-07</v>
      </c>
    </row>
    <row r="53">
      <c r="A53" t="n">
        <v>42.19932203389831</v>
      </c>
      <c r="B53" t="n">
        <v>6.590549055489628</v>
      </c>
      <c r="C53" t="n">
        <v>6.407026370744838</v>
      </c>
      <c r="D53" t="n">
        <v>0.1835226847447906</v>
      </c>
      <c r="E53" t="n">
        <v>2.385349937395468</v>
      </c>
      <c r="J53" t="n">
        <v>3.192121908445672e-07</v>
      </c>
    </row>
    <row r="54">
      <c r="A54" t="n">
        <v>42.59440677966101</v>
      </c>
      <c r="B54" t="n">
        <v>6.582305332047741</v>
      </c>
      <c r="C54" t="n">
        <v>6.407026370744838</v>
      </c>
      <c r="D54" t="n">
        <v>0.1752789613029035</v>
      </c>
      <c r="E54" t="n">
        <v>2.276756568884361</v>
      </c>
      <c r="J54" t="n">
        <v>3.192121908445672e-07</v>
      </c>
    </row>
    <row r="55">
      <c r="A55" t="n">
        <v>42.98949152542373</v>
      </c>
      <c r="B55" t="n">
        <v>6.574498376392343</v>
      </c>
      <c r="C55" t="n">
        <v>6.407026370744838</v>
      </c>
      <c r="D55" t="n">
        <v>0.1674720056475056</v>
      </c>
      <c r="E55" t="n">
        <v>2.174041985765794</v>
      </c>
      <c r="J55" t="n">
        <v>3.192121908445672e-07</v>
      </c>
    </row>
    <row r="56">
      <c r="A56" t="n">
        <v>43.38457627118644</v>
      </c>
      <c r="B56" t="n">
        <v>6.56710173049754</v>
      </c>
      <c r="C56" t="n">
        <v>6.407026370744838</v>
      </c>
      <c r="D56" t="n">
        <v>0.1600753597527023</v>
      </c>
      <c r="E56" t="n">
        <v>2.07683822328401</v>
      </c>
      <c r="J56" t="n">
        <v>3.192121908445672e-07</v>
      </c>
    </row>
    <row r="57">
      <c r="A57" t="n">
        <v>43.77966101694915</v>
      </c>
      <c r="B57" t="n">
        <v>6.560090724983661</v>
      </c>
      <c r="C57" t="n">
        <v>6.407026370744838</v>
      </c>
      <c r="D57" t="n">
        <v>0.1530643542388237</v>
      </c>
      <c r="E57" t="n">
        <v>1.984803404596896</v>
      </c>
      <c r="J57" t="n">
        <v>3.192121908445672e-07</v>
      </c>
    </row>
    <row r="58">
      <c r="A58" t="n">
        <v>44.17474576271186</v>
      </c>
      <c r="B58" t="n">
        <v>6.553442346870282</v>
      </c>
      <c r="C58" t="n">
        <v>6.407026370744838</v>
      </c>
      <c r="D58" t="n">
        <v>0.1464159761254447</v>
      </c>
      <c r="E58" t="n">
        <v>1.897619678332908</v>
      </c>
      <c r="J58" t="n">
        <v>3.192121908445672e-07</v>
      </c>
    </row>
    <row r="59">
      <c r="A59" t="n">
        <v>44.56983050847458</v>
      </c>
      <c r="B59" t="n">
        <v>6.547135117832375</v>
      </c>
      <c r="C59" t="n">
        <v>6.407026370744838</v>
      </c>
      <c r="D59" t="n">
        <v>0.1401087470875373</v>
      </c>
      <c r="E59" t="n">
        <v>1.814991335734176</v>
      </c>
      <c r="J59" t="n">
        <v>3.192121908445672e-07</v>
      </c>
    </row>
    <row r="60">
      <c r="A60" t="n">
        <v>44.96491525423728</v>
      </c>
      <c r="B60" t="n">
        <v>6.541148982079013</v>
      </c>
      <c r="C60" t="n">
        <v>6.407026370744838</v>
      </c>
      <c r="D60" t="n">
        <v>0.1341226113341749</v>
      </c>
      <c r="E60" t="n">
        <v>1.736643090333538</v>
      </c>
      <c r="J60" t="n">
        <v>3.192121908445672e-07</v>
      </c>
    </row>
    <row r="61">
      <c r="A61" t="n">
        <v>45.36</v>
      </c>
      <c r="B61" t="n">
        <v>6.53546520305053</v>
      </c>
      <c r="C61" t="n">
        <v>6.407026370744838</v>
      </c>
      <c r="D61" t="n">
        <v>0.128438832305692</v>
      </c>
      <c r="E61" t="n">
        <v>1.662318504864536</v>
      </c>
      <c r="J61" t="n">
        <v>3.192121908445672e-07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</cols>
  <sheetData>
    <row r="1">
      <c r="A1" s="3" t="inlineStr">
        <is>
          <t>quantity</t>
        </is>
      </c>
      <c r="B1" s="3" t="inlineStr">
        <is>
          <t>value</t>
        </is>
      </c>
      <c r="C1" s="3" t="inlineStr">
        <is>
          <t>note</t>
        </is>
      </c>
    </row>
    <row r="2">
      <c r="A2" t="inlineStr">
        <is>
          <t>ln-ln graph: gradient -n (best fit)</t>
        </is>
      </c>
      <c r="B2" t="n">
        <v>-3.97300111388444</v>
      </c>
      <c r="C2" t="inlineStr">
        <is>
          <t>least squares (Excel LINEST)</t>
        </is>
      </c>
    </row>
    <row r="3">
      <c r="A3" t="inlineStr">
        <is>
          <t>standard error of gradient</t>
        </is>
      </c>
      <c r="B3" t="n">
        <v>0.1597643169402219</v>
      </c>
      <c r="C3" t="inlineStr">
        <is>
          <t>LINEST</t>
        </is>
      </c>
    </row>
    <row r="4">
      <c r="A4" t="inlineStr">
        <is>
          <t>max gradient</t>
        </is>
      </c>
      <c r="B4" t="n">
        <v>-3.936365412320363</v>
      </c>
      <c r="C4" t="inlineStr">
        <is>
          <t>line through extreme error-bar corners</t>
        </is>
      </c>
    </row>
    <row r="5">
      <c r="A5" t="inlineStr">
        <is>
          <t>min gradient</t>
        </is>
      </c>
      <c r="B5" t="n">
        <v>-3.929111051562422</v>
      </c>
      <c r="C5" t="inlineStr"/>
    </row>
    <row r="6">
      <c r="A6" t="inlineStr">
        <is>
          <t xml:space="preserve">n = </t>
        </is>
      </c>
      <c r="B6" t="inlineStr">
        <is>
          <t>3.97 ± 0.00</t>
        </is>
      </c>
      <c r="C6" t="inlineStr">
        <is>
          <t>(n_max - n_min)/2</t>
        </is>
      </c>
    </row>
    <row r="7">
      <c r="A7" t="inlineStr">
        <is>
          <t>R^2</t>
        </is>
      </c>
      <c r="B7" t="n">
        <v>0.9903909574363241</v>
      </c>
      <c r="C7" t="inlineStr"/>
    </row>
    <row r="8">
      <c r="A8" t="inlineStr">
        <is>
          <t>intercept ln C</t>
        </is>
      </c>
      <c r="B8" t="n">
        <v>-11.17984007514213</v>
      </c>
      <c r="C8" t="inlineStr">
        <is>
          <t>± 0.550 (LINEST)</t>
        </is>
      </c>
    </row>
    <row r="9">
      <c r="A9" t="inlineStr">
        <is>
          <t>C from intercept / m^5 s^-2</t>
        </is>
      </c>
      <c r="B9" s="7" t="n">
        <v>1.395266434944242e-05</v>
      </c>
      <c r="C9" t="inlineStr">
        <is>
          <t>± 6.98e-07 (max/min lines)</t>
        </is>
      </c>
    </row>
    <row r="10">
      <c r="A10" t="inlineStr"/>
      <c r="C10" t="inlineStr"/>
    </row>
    <row r="11">
      <c r="A11" t="inlineStr">
        <is>
          <t>fixed n = 5: C (least squares) / m^5 s^-2</t>
        </is>
      </c>
      <c r="B11" s="7" t="n">
        <v>3.192121908445672e-07</v>
      </c>
      <c r="C11" t="inlineStr"/>
    </row>
    <row r="12">
      <c r="A12" t="inlineStr">
        <is>
          <t>fixed n = 5: mean of C_i</t>
        </is>
      </c>
      <c r="B12" s="7" t="n">
        <v>4.157960665831921e-07</v>
      </c>
      <c r="C12" t="inlineStr">
        <is>
          <t>half-range 1.09e-07, SD 7.94e-08</t>
        </is>
      </c>
    </row>
    <row r="13">
      <c r="A13" t="inlineStr">
        <is>
          <t>chi^2 / dof for n = 5</t>
        </is>
      </c>
      <c r="B13" t="inlineStr">
        <is>
          <t>91.3 / 7</t>
        </is>
      </c>
      <c r="C13" t="inlineStr">
        <is>
          <t>with the adopted uncertainties</t>
        </is>
      </c>
    </row>
    <row r="14">
      <c r="A14" t="inlineStr"/>
      <c r="C14" t="inlineStr"/>
    </row>
    <row r="15">
      <c r="A15" t="inlineStr">
        <is>
          <t>f1: mean over all d / Hz</t>
        </is>
      </c>
      <c r="B15" t="n">
        <v>6.407026370744838</v>
      </c>
      <c r="C15" t="inlineStr">
        <is>
          <t>half-range 0.0124, SD 0.0089</t>
        </is>
      </c>
    </row>
    <row r="16">
      <c r="A16" t="inlineStr">
        <is>
          <t>f1: slope against d / Hz per mm</t>
        </is>
      </c>
      <c r="B16" t="n">
        <v>-0.001349236209438513</v>
      </c>
      <c r="C16" t="inlineStr">
        <is>
          <t>± 2.09e-04 (consistent with 0 =&gt; f1 independent of d)</t>
        </is>
      </c>
    </row>
    <row r="17">
      <c r="A17" t="inlineStr">
        <is>
          <t>f1: largest deviation from mean / Hz</t>
        </is>
      </c>
      <c r="B17" t="n">
        <v>0.01257424389673467</v>
      </c>
      <c r="C17" t="inlineStr">
        <is>
          <t>mean adopted uncertainty 0.0334 Hz</t>
        </is>
      </c>
    </row>
    <row r="19">
      <c r="A19" s="1" t="inlineStr">
        <is>
          <t>Comparison with the dipole model f2 = sqrt(f1_mean^2 + C d^-5), C from the fixed-n fit</t>
        </is>
      </c>
    </row>
    <row r="20">
      <c r="A20" s="3" t="inlineStr">
        <is>
          <t>d / mm</t>
        </is>
      </c>
      <c r="B20" s="3" t="inlineStr">
        <is>
          <t>f2 exp / Hz</t>
        </is>
      </c>
      <c r="C20" s="3" t="inlineStr">
        <is>
          <t>df2 / Hz</t>
        </is>
      </c>
      <c r="D20" s="3" t="inlineStr">
        <is>
          <t>f2 theory / Hz</t>
        </is>
      </c>
      <c r="E20" s="3" t="inlineStr">
        <is>
          <t>% difference</t>
        </is>
      </c>
      <c r="F20" s="3" t="inlineStr">
        <is>
          <t>within error bar?</t>
        </is>
      </c>
    </row>
    <row r="21">
      <c r="A21" t="n">
        <v>24.5</v>
      </c>
      <c r="B21" t="n">
        <v>8.540795434523126</v>
      </c>
      <c r="C21" t="n">
        <v>0.04636250078076476</v>
      </c>
      <c r="D21" t="n">
        <v>8.787019076188589</v>
      </c>
      <c r="E21" t="n">
        <v>-2.802129362990564</v>
      </c>
      <c r="F21" t="inlineStr">
        <is>
          <t>no</t>
        </is>
      </c>
    </row>
    <row r="22">
      <c r="A22" t="n">
        <v>26.5</v>
      </c>
      <c r="B22" t="n">
        <v>8.147051847279439</v>
      </c>
      <c r="C22" t="n">
        <v>0.04656616245561433</v>
      </c>
      <c r="D22" t="n">
        <v>8.091715526913747</v>
      </c>
      <c r="E22" t="n">
        <v>0.683863887474027</v>
      </c>
      <c r="F22" t="inlineStr">
        <is>
          <t>no</t>
        </is>
      </c>
    </row>
    <row r="23">
      <c r="A23" t="n">
        <v>28.5</v>
      </c>
      <c r="B23" t="n">
        <v>7.793137789408381</v>
      </c>
      <c r="C23" t="n">
        <v>0.04655660929806697</v>
      </c>
      <c r="D23" t="n">
        <v>7.617529847538916</v>
      </c>
      <c r="E23" t="n">
        <v>2.305313472794611</v>
      </c>
      <c r="F23" t="inlineStr">
        <is>
          <t>no</t>
        </is>
      </c>
    </row>
    <row r="24">
      <c r="A24" t="n">
        <v>31</v>
      </c>
      <c r="B24" t="n">
        <v>7.517362274293975</v>
      </c>
      <c r="C24" t="n">
        <v>0.04292517894894167</v>
      </c>
      <c r="D24" t="n">
        <v>7.224948969912454</v>
      </c>
      <c r="E24" t="n">
        <v>4.047271553048281</v>
      </c>
      <c r="F24" t="inlineStr">
        <is>
          <t>no</t>
        </is>
      </c>
    </row>
    <row r="25">
      <c r="A25" t="n">
        <v>33.5</v>
      </c>
      <c r="B25" t="n">
        <v>7.209964104217522</v>
      </c>
      <c r="C25" t="n">
        <v>0.03121820139479923</v>
      </c>
      <c r="D25" t="n">
        <v>6.972502919911985</v>
      </c>
      <c r="E25" t="n">
        <v>3.405680672106972</v>
      </c>
      <c r="F25" t="inlineStr">
        <is>
          <t>no</t>
        </is>
      </c>
    </row>
    <row r="26">
      <c r="A26" t="n">
        <v>36</v>
      </c>
      <c r="B26" t="n">
        <v>6.977991791160238</v>
      </c>
      <c r="C26" t="n">
        <v>0.02463119047457745</v>
      </c>
      <c r="D26" t="n">
        <v>6.806553675134309</v>
      </c>
      <c r="E26" t="n">
        <v>2.518721282581317</v>
      </c>
      <c r="F26" t="inlineStr">
        <is>
          <t>no</t>
        </is>
      </c>
    </row>
    <row r="27">
      <c r="A27" t="n">
        <v>39</v>
      </c>
      <c r="B27" t="n">
        <v>6.802100199503945</v>
      </c>
      <c r="C27" t="n">
        <v>0.01646381007550565</v>
      </c>
      <c r="D27" t="n">
        <v>6.67742282264807</v>
      </c>
      <c r="E27" t="n">
        <v>1.867148152323117</v>
      </c>
      <c r="F27" t="inlineStr">
        <is>
          <t>no</t>
        </is>
      </c>
    </row>
    <row r="28">
      <c r="A28" t="n">
        <v>42</v>
      </c>
      <c r="B28" t="n">
        <v>6.685999325576625</v>
      </c>
      <c r="C28" t="n">
        <v>0.01242792160662344</v>
      </c>
      <c r="D28" t="n">
        <v>6.594882725811083</v>
      </c>
      <c r="E28" t="n">
        <v>1.381625777952488</v>
      </c>
      <c r="F2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Sample calculation for d = 24.5 mm (live Excel formulas; same steps as the Python code)</t>
        </is>
      </c>
    </row>
    <row r="3">
      <c r="A3" t="inlineStr">
        <is>
          <t>trial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t="inlineStr">
        <is>
          <t>f1 / Hz</t>
        </is>
      </c>
      <c r="B4" t="n">
        <v>6.419406301627559</v>
      </c>
      <c r="C4" t="n">
        <v>6.419089493849206</v>
      </c>
      <c r="D4" t="n">
        <v>6.419869948836316</v>
      </c>
      <c r="E4" t="n">
        <v>6.418374081644255</v>
      </c>
      <c r="F4" t="n">
        <v>6.419029860116187</v>
      </c>
    </row>
    <row r="5">
      <c r="A5" t="inlineStr">
        <is>
          <t>f2 / Hz</t>
        </is>
      </c>
      <c r="B5" t="n">
        <v>8.540313099876714</v>
      </c>
      <c r="C5" t="n">
        <v>8.540947947676575</v>
      </c>
      <c r="D5" t="n">
        <v>8.54041543933724</v>
      </c>
      <c r="E5" t="n">
        <v>8.540954243350058</v>
      </c>
      <c r="F5" t="n">
        <v>8.541346442375042</v>
      </c>
    </row>
    <row r="6">
      <c r="A6" t="inlineStr">
        <is>
          <t>T / s</t>
        </is>
      </c>
      <c r="B6" t="n">
        <v>10.6210789272031</v>
      </c>
      <c r="C6" t="n">
        <v>10.90635079726651</v>
      </c>
      <c r="D6" t="n">
        <v>10.83048505747126</v>
      </c>
      <c r="E6" t="n">
        <v>10.77185134099617</v>
      </c>
      <c r="F6" t="n">
        <v>10.79722417750574</v>
      </c>
    </row>
    <row r="8">
      <c r="A8" t="inlineStr">
        <is>
          <t>mean f1</t>
        </is>
      </c>
      <c r="B8">
        <f>AVERAGE(B4:F4)</f>
        <v/>
      </c>
    </row>
    <row r="9">
      <c r="A9" t="inlineStr">
        <is>
          <t>half-range f1</t>
        </is>
      </c>
      <c r="B9">
        <f>(MAX(B4:F4)-MIN(B4:F4))/2</f>
        <v/>
      </c>
    </row>
    <row r="10">
      <c r="A10" t="inlineStr">
        <is>
          <t>mean T</t>
        </is>
      </c>
      <c r="B10">
        <f>AVERAGE(B6:F6)</f>
        <v/>
      </c>
    </row>
    <row r="11">
      <c r="A11" t="inlineStr">
        <is>
          <t>half-bin = 1/(2T)</t>
        </is>
      </c>
      <c r="B11">
        <f>0.5/B10</f>
        <v/>
      </c>
    </row>
    <row r="12">
      <c r="A12" t="inlineStr">
        <is>
          <t>adopted df1 = MAX(half-range, half-bin)</t>
        </is>
      </c>
      <c r="B12">
        <f>MAX(B9,B11)</f>
        <v/>
      </c>
    </row>
    <row r="13">
      <c r="A13" t="inlineStr">
        <is>
          <t>mean f2</t>
        </is>
      </c>
      <c r="B13">
        <f>AVERAGE(B5:F5)</f>
        <v/>
      </c>
    </row>
    <row r="14">
      <c r="A14" t="inlineStr">
        <is>
          <t>half-range f2</t>
        </is>
      </c>
      <c r="B14">
        <f>(MAX(B5:F5)-MIN(B5:F5))/2</f>
        <v/>
      </c>
    </row>
    <row r="15">
      <c r="A15" t="inlineStr">
        <is>
          <t>adopted df2</t>
        </is>
      </c>
      <c r="B15">
        <f>MAX(B14,B11)</f>
        <v/>
      </c>
    </row>
    <row r="16">
      <c r="A16" t="inlineStr">
        <is>
          <t>f_avg = (f1+f2)/2</t>
        </is>
      </c>
      <c r="B16">
        <f>(B8+B13)/2</f>
        <v/>
      </c>
    </row>
    <row r="17">
      <c r="A17" t="inlineStr">
        <is>
          <t>df_avg = (df1+df2)/2</t>
        </is>
      </c>
      <c r="B17">
        <f>(B12+B15)/2</f>
        <v/>
      </c>
    </row>
    <row r="18">
      <c r="A18" t="inlineStr">
        <is>
          <t>f_beat = f2-f1</t>
        </is>
      </c>
      <c r="B18">
        <f>B13-B8</f>
        <v/>
      </c>
    </row>
    <row r="19">
      <c r="A19" t="inlineStr">
        <is>
          <t>df_beat = df1+df2</t>
        </is>
      </c>
      <c r="B19">
        <f>B12+B15</f>
        <v/>
      </c>
    </row>
    <row r="20">
      <c r="A20" t="inlineStr">
        <is>
          <t>y = f2^2-f1^2</t>
        </is>
      </c>
      <c r="B20">
        <f>B13^2-B8^2</f>
        <v/>
      </c>
    </row>
    <row r="21">
      <c r="A21" t="inlineStr">
        <is>
          <t>dy = 2 f2 df2 + 2 f1 df1</t>
        </is>
      </c>
      <c r="B21">
        <f>2*B13*B15+2*B8*B12</f>
        <v/>
      </c>
    </row>
    <row r="22">
      <c r="A22" t="inlineStr">
        <is>
          <t>ln(d/m)</t>
        </is>
      </c>
      <c r="B22">
        <f>LN(24.5/1000)</f>
        <v/>
      </c>
    </row>
    <row r="23">
      <c r="A23" t="inlineStr">
        <is>
          <t>d ln d = dd/d</t>
        </is>
      </c>
      <c r="B23">
        <f>0.5/24.5</f>
        <v/>
      </c>
    </row>
    <row r="24">
      <c r="A24" t="inlineStr">
        <is>
          <t>ln y</t>
        </is>
      </c>
      <c r="B24">
        <f>LN(B20)</f>
        <v/>
      </c>
    </row>
    <row r="25">
      <c r="A25" t="inlineStr">
        <is>
          <t>d ln y = dy/y</t>
        </is>
      </c>
      <c r="B25">
        <f>B21/B20</f>
        <v/>
      </c>
    </row>
    <row r="26">
      <c r="A26" t="inlineStr">
        <is>
          <t>C_i = y d^5 / m^5 s^-2</t>
        </is>
      </c>
      <c r="B26">
        <f>B20*(24.5/1000)^5</f>
        <v/>
      </c>
    </row>
    <row r="27">
      <c r="A27" t="inlineStr">
        <is>
          <t>(f1/f2)^2 (predicted peak-height ratio)</t>
        </is>
      </c>
      <c r="B27">
        <f>(B8/B13)^2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Normal-coordinate method: f1 = peak of FFT(xA+xB), f2 = peak of FFT(xB-xA)</t>
        </is>
      </c>
    </row>
    <row r="2">
      <c r="A2" s="3" t="inlineStr">
        <is>
          <t>d / mm</t>
        </is>
      </c>
      <c r="B2" s="3" t="inlineStr">
        <is>
          <t>f1 / Hz (rect)</t>
        </is>
      </c>
      <c r="C2" s="3" t="inlineStr">
        <is>
          <t>df1 (rect)</t>
        </is>
      </c>
      <c r="D2" s="3" t="inlineStr">
        <is>
          <t>f2 / Hz (rect)</t>
        </is>
      </c>
      <c r="E2" s="3" t="inlineStr">
        <is>
          <t>df2 (rect)</t>
        </is>
      </c>
      <c r="F2" s="3" t="inlineStr">
        <is>
          <t>f2^2-f1^2 / Hz^2 (rect)</t>
        </is>
      </c>
      <c r="G2" s="3" t="inlineStr">
        <is>
          <t>d(f2^2-f1^2) (rect)</t>
        </is>
      </c>
      <c r="H2" s="3" t="inlineStr">
        <is>
          <t>f1 / Hz (hann)</t>
        </is>
      </c>
      <c r="I2" s="3" t="inlineStr">
        <is>
          <t>df1 (hann)</t>
        </is>
      </c>
      <c r="J2" s="3" t="inlineStr">
        <is>
          <t>f2 / Hz (hann)</t>
        </is>
      </c>
      <c r="K2" s="3" t="inlineStr">
        <is>
          <t>df2 (hann)</t>
        </is>
      </c>
      <c r="L2" s="3" t="inlineStr">
        <is>
          <t>f2^2-f1^2 / Hz^2 (hann)</t>
        </is>
      </c>
      <c r="M2" s="3" t="inlineStr">
        <is>
          <t>d(f2^2-f1^2) (hann)</t>
        </is>
      </c>
      <c r="N2" s="3" t="inlineStr">
        <is>
          <t>f1 / Hz (hamming)</t>
        </is>
      </c>
      <c r="O2" s="3" t="inlineStr">
        <is>
          <t>df1 (hamming)</t>
        </is>
      </c>
      <c r="P2" s="3" t="inlineStr">
        <is>
          <t>f2 / Hz (hamming)</t>
        </is>
      </c>
      <c r="Q2" s="3" t="inlineStr">
        <is>
          <t>df2 (hamming)</t>
        </is>
      </c>
      <c r="R2" s="3" t="inlineStr">
        <is>
          <t>f2^2-f1^2 / Hz^2 (hamming)</t>
        </is>
      </c>
      <c r="S2" s="3" t="inlineStr">
        <is>
          <t>d(f2^2-f1^2) (hamming)</t>
        </is>
      </c>
      <c r="T2" s="3" t="inlineStr">
        <is>
          <t>f1 / Hz (blackman)</t>
        </is>
      </c>
      <c r="U2" s="3" t="inlineStr">
        <is>
          <t>df1 (blackman)</t>
        </is>
      </c>
      <c r="V2" s="3" t="inlineStr">
        <is>
          <t>f2 / Hz (blackman)</t>
        </is>
      </c>
      <c r="W2" s="3" t="inlineStr">
        <is>
          <t>df2 (blackman)</t>
        </is>
      </c>
      <c r="X2" s="3" t="inlineStr">
        <is>
          <t>f2^2-f1^2 / Hz^2 (blackman)</t>
        </is>
      </c>
      <c r="Y2" s="3" t="inlineStr">
        <is>
          <t>d(f2^2-f1^2) (blackman)</t>
        </is>
      </c>
    </row>
    <row r="3">
      <c r="A3" t="n">
        <v>24.5</v>
      </c>
      <c r="B3" t="n">
        <v>6.419153937214705</v>
      </c>
      <c r="C3" t="n">
        <v>0.04636250078076476</v>
      </c>
      <c r="D3" t="n">
        <v>8.540795434523126</v>
      </c>
      <c r="E3" t="n">
        <v>0.04636250078076476</v>
      </c>
      <c r="F3" t="n">
        <v>31.73964938471202</v>
      </c>
      <c r="G3" t="n">
        <v>1.387161328854793</v>
      </c>
      <c r="H3" t="n">
        <v>6.419134285135127</v>
      </c>
      <c r="I3" t="n">
        <v>0.04636250078076476</v>
      </c>
      <c r="J3" t="n">
        <v>8.540753506233937</v>
      </c>
      <c r="K3" t="n">
        <v>0.04636250078076476</v>
      </c>
      <c r="L3" t="n">
        <v>31.73918548365004</v>
      </c>
      <c r="M3" t="n">
        <v>1.387155618815003</v>
      </c>
      <c r="N3" t="n">
        <v>6.419135522325341</v>
      </c>
      <c r="O3" t="n">
        <v>0.04636250078076476</v>
      </c>
      <c r="P3" t="n">
        <v>8.540771650681608</v>
      </c>
      <c r="Q3" t="n">
        <v>0.04636250078076476</v>
      </c>
      <c r="R3" t="n">
        <v>31.73947953510761</v>
      </c>
      <c r="S3" t="n">
        <v>1.387157415977406</v>
      </c>
      <c r="T3" t="n">
        <v>6.419143906607053</v>
      </c>
      <c r="U3" t="n">
        <v>0.04636250078076476</v>
      </c>
      <c r="V3" t="n">
        <v>8.540756406454992</v>
      </c>
      <c r="W3" t="n">
        <v>0.04636250078076476</v>
      </c>
      <c r="X3" t="n">
        <v>31.73911150067155</v>
      </c>
      <c r="Y3" t="n">
        <v>1.387156779889004</v>
      </c>
    </row>
    <row r="4">
      <c r="A4" t="n">
        <v>26.5</v>
      </c>
      <c r="B4" t="n">
        <v>6.419600614641572</v>
      </c>
      <c r="C4" t="n">
        <v>0.04656616245561433</v>
      </c>
      <c r="D4" t="n">
        <v>8.147051847279439</v>
      </c>
      <c r="E4" t="n">
        <v>0.04656616245561433</v>
      </c>
      <c r="F4" t="n">
        <v>25.16318175075286</v>
      </c>
      <c r="G4" t="n">
        <v>1.356626209952576</v>
      </c>
      <c r="H4" t="n">
        <v>6.419534333342713</v>
      </c>
      <c r="I4" t="n">
        <v>0.04656616245561433</v>
      </c>
      <c r="J4" t="n">
        <v>8.146907986472723</v>
      </c>
      <c r="K4" t="n">
        <v>0.04656616245561433</v>
      </c>
      <c r="L4" t="n">
        <v>25.16168868308716</v>
      </c>
      <c r="M4" t="n">
        <v>1.356606638929722</v>
      </c>
      <c r="N4" t="n">
        <v>6.419551019546857</v>
      </c>
      <c r="O4" t="n">
        <v>0.04656616245561433</v>
      </c>
      <c r="P4" t="n">
        <v>8.146958806431178</v>
      </c>
      <c r="Q4" t="n">
        <v>0.04656616245561433</v>
      </c>
      <c r="R4" t="n">
        <v>25.16230250112143</v>
      </c>
      <c r="S4" t="n">
        <v>1.356612925935591</v>
      </c>
      <c r="T4" t="n">
        <v>6.419539996814693</v>
      </c>
      <c r="U4" t="n">
        <v>0.04656616245561433</v>
      </c>
      <c r="V4" t="n">
        <v>8.146906793145449</v>
      </c>
      <c r="W4" t="n">
        <v>0.04656616245561433</v>
      </c>
      <c r="X4" t="n">
        <v>25.16159652549588</v>
      </c>
      <c r="Y4" t="n">
        <v>1.356607055244692</v>
      </c>
    </row>
    <row r="5">
      <c r="A5" t="n">
        <v>28.5</v>
      </c>
      <c r="B5" t="n">
        <v>6.406235397136205</v>
      </c>
      <c r="C5" t="n">
        <v>0.04655660929806697</v>
      </c>
      <c r="D5" t="n">
        <v>7.793137789408381</v>
      </c>
      <c r="E5" t="n">
        <v>0.04655660929806697</v>
      </c>
      <c r="F5" t="n">
        <v>19.69314464118408</v>
      </c>
      <c r="G5" t="n">
        <v>1.322149339446809</v>
      </c>
      <c r="H5" t="n">
        <v>6.406248182366279</v>
      </c>
      <c r="I5" t="n">
        <v>0.04655660929806697</v>
      </c>
      <c r="J5" t="n">
        <v>7.793061159757643</v>
      </c>
      <c r="K5" t="n">
        <v>0.04655660929806697</v>
      </c>
      <c r="L5" t="n">
        <v>19.69178646565189</v>
      </c>
      <c r="M5" t="n">
        <v>1.322143394687312</v>
      </c>
      <c r="N5" t="n">
        <v>6.406234717211194</v>
      </c>
      <c r="O5" t="n">
        <v>0.04655660929806697</v>
      </c>
      <c r="P5" t="n">
        <v>7.793086555940819</v>
      </c>
      <c r="Q5" t="n">
        <v>0.04655660929806697</v>
      </c>
      <c r="R5" t="n">
        <v>19.69235481638356</v>
      </c>
      <c r="S5" t="n">
        <v>1.322144505623738</v>
      </c>
      <c r="T5" t="n">
        <v>6.406276748746563</v>
      </c>
      <c r="U5" t="n">
        <v>0.04655660929806697</v>
      </c>
      <c r="V5" t="n">
        <v>7.79306561655693</v>
      </c>
      <c r="W5" t="n">
        <v>0.04655660929806697</v>
      </c>
      <c r="X5" t="n">
        <v>19.69148992243101</v>
      </c>
      <c r="Y5" t="n">
        <v>1.32214646958185</v>
      </c>
    </row>
    <row r="6">
      <c r="A6" t="n">
        <v>31</v>
      </c>
      <c r="B6" t="n">
        <v>6.410332803643963</v>
      </c>
      <c r="C6" t="n">
        <v>0.04292517894894167</v>
      </c>
      <c r="D6" t="n">
        <v>7.517362274293975</v>
      </c>
      <c r="E6" t="n">
        <v>0.04292517894894167</v>
      </c>
      <c r="F6" t="n">
        <v>15.41836890950442</v>
      </c>
      <c r="G6" t="n">
        <v>1.19569760713356</v>
      </c>
      <c r="H6" t="n">
        <v>6.410425390582364</v>
      </c>
      <c r="I6" t="n">
        <v>0.04292517894894167</v>
      </c>
      <c r="J6" t="n">
        <v>7.517278144822136</v>
      </c>
      <c r="K6" t="n">
        <v>0.04292517894894167</v>
      </c>
      <c r="L6" t="n">
        <v>15.41591701839748</v>
      </c>
      <c r="M6" t="n">
        <v>1.195698333210091</v>
      </c>
      <c r="N6" t="n">
        <v>6.410383989842455</v>
      </c>
      <c r="O6" t="n">
        <v>0.04292517894894167</v>
      </c>
      <c r="P6" t="n">
        <v>7.517305405703216</v>
      </c>
      <c r="Q6" t="n">
        <v>0.04292517894894167</v>
      </c>
      <c r="R6" t="n">
        <v>15.41685766538632</v>
      </c>
      <c r="S6" t="n">
        <v>1.19569711929815</v>
      </c>
      <c r="T6" t="n">
        <v>6.410442466926845</v>
      </c>
      <c r="U6" t="n">
        <v>0.04292517894894167</v>
      </c>
      <c r="V6" t="n">
        <v>7.517269566177665</v>
      </c>
      <c r="W6" t="n">
        <v>0.04292517894894167</v>
      </c>
      <c r="X6" t="n">
        <v>15.4155691088018</v>
      </c>
      <c r="Y6" t="n">
        <v>1.195699062740679</v>
      </c>
    </row>
    <row r="7">
      <c r="A7" t="n">
        <v>33.5</v>
      </c>
      <c r="B7" t="n">
        <v>6.403704485319071</v>
      </c>
      <c r="C7" t="n">
        <v>0.03121820139479923</v>
      </c>
      <c r="D7" t="n">
        <v>7.209964104217522</v>
      </c>
      <c r="E7" t="n">
        <v>0.03121820139479923</v>
      </c>
      <c r="F7" t="n">
        <v>10.97615124880959</v>
      </c>
      <c r="G7" t="n">
        <v>0.8499884955004116</v>
      </c>
      <c r="H7" t="n">
        <v>6.403727047842112</v>
      </c>
      <c r="I7" t="n">
        <v>0.03121820139479923</v>
      </c>
      <c r="J7" t="n">
        <v>7.209802640606256</v>
      </c>
      <c r="K7" t="n">
        <v>0.03121820139479923</v>
      </c>
      <c r="L7" t="n">
        <v>10.97353401322828</v>
      </c>
      <c r="M7" t="n">
        <v>0.8499798230161193</v>
      </c>
      <c r="N7" t="n">
        <v>6.403706551458282</v>
      </c>
      <c r="O7" t="n">
        <v>0.03121820139479923</v>
      </c>
      <c r="P7" t="n">
        <v>7.209852733735765</v>
      </c>
      <c r="Q7" t="n">
        <v>0.03121820139479923</v>
      </c>
      <c r="R7" t="n">
        <v>10.97451884496736</v>
      </c>
      <c r="S7" t="n">
        <v>0.8499816709304537</v>
      </c>
      <c r="T7" t="n">
        <v>6.403736453098094</v>
      </c>
      <c r="U7" t="n">
        <v>0.03121820139479923</v>
      </c>
      <c r="V7" t="n">
        <v>7.209782113821541</v>
      </c>
      <c r="W7" t="n">
        <v>0.03121820139479923</v>
      </c>
      <c r="X7" t="n">
        <v>10.97311756804366</v>
      </c>
      <c r="Y7" t="n">
        <v>0.8499791286278715</v>
      </c>
    </row>
    <row r="8">
      <c r="A8" t="n">
        <v>36</v>
      </c>
      <c r="B8" t="n">
        <v>6.402413624693764</v>
      </c>
      <c r="C8" t="n">
        <v>0.02463119047457745</v>
      </c>
      <c r="D8" t="n">
        <v>6.977991791160238</v>
      </c>
      <c r="E8" t="n">
        <v>0.02463119047457745</v>
      </c>
      <c r="F8" t="n">
        <v>7.701469215835317</v>
      </c>
      <c r="G8" t="n">
        <v>0.6591506288499352</v>
      </c>
      <c r="H8" t="n">
        <v>6.402501271047353</v>
      </c>
      <c r="I8" t="n">
        <v>0.02463119047457745</v>
      </c>
      <c r="J8" t="n">
        <v>6.977877061692578</v>
      </c>
      <c r="K8" t="n">
        <v>0.02463119047457745</v>
      </c>
      <c r="L8" t="n">
        <v>7.698745762332479</v>
      </c>
      <c r="M8" t="n">
        <v>0.6591492946712527</v>
      </c>
      <c r="N8" t="n">
        <v>6.402451063393224</v>
      </c>
      <c r="O8" t="n">
        <v>0.02463119047457745</v>
      </c>
      <c r="P8" t="n">
        <v>6.977910772784101</v>
      </c>
      <c r="Q8" t="n">
        <v>0.02463119047457745</v>
      </c>
      <c r="R8" t="n">
        <v>7.699859133791385</v>
      </c>
      <c r="S8" t="n">
        <v>0.6591484820113012</v>
      </c>
      <c r="T8" t="n">
        <v>6.402521467510779</v>
      </c>
      <c r="U8" t="n">
        <v>0.02463119047457745</v>
      </c>
      <c r="V8" t="n">
        <v>6.977865435516017</v>
      </c>
      <c r="W8" t="n">
        <v>0.02463119047457745</v>
      </c>
      <c r="X8" t="n">
        <v>7.698324894232769</v>
      </c>
      <c r="Y8" t="n">
        <v>0.659149716863989</v>
      </c>
    </row>
    <row r="9">
      <c r="A9" t="n">
        <v>39</v>
      </c>
      <c r="B9" t="n">
        <v>6.400065169209867</v>
      </c>
      <c r="C9" t="n">
        <v>0.01646381007550565</v>
      </c>
      <c r="D9" t="n">
        <v>6.802100199503945</v>
      </c>
      <c r="E9" t="n">
        <v>0.01646381007550565</v>
      </c>
      <c r="F9" t="n">
        <v>5.307732953958286</v>
      </c>
      <c r="G9" t="n">
        <v>0.4347158864318444</v>
      </c>
      <c r="H9" t="n">
        <v>6.400223451730582</v>
      </c>
      <c r="I9" t="n">
        <v>0.01646381007550565</v>
      </c>
      <c r="J9" t="n">
        <v>6.802042106267796</v>
      </c>
      <c r="K9" t="n">
        <v>0.01646381007550565</v>
      </c>
      <c r="L9" t="n">
        <v>5.304916583357901</v>
      </c>
      <c r="M9" t="n">
        <v>0.4347191854265498</v>
      </c>
      <c r="N9" t="n">
        <v>6.400135102244595</v>
      </c>
      <c r="O9" t="n">
        <v>0.01646381007550565</v>
      </c>
      <c r="P9" t="n">
        <v>6.802043188415328</v>
      </c>
      <c r="Q9" t="n">
        <v>0.01646381007550565</v>
      </c>
      <c r="R9" t="n">
        <v>5.30606221008393</v>
      </c>
      <c r="S9" t="n">
        <v>0.4347163119207775</v>
      </c>
      <c r="T9" t="n">
        <v>6.400266188570664</v>
      </c>
      <c r="U9" t="n">
        <v>0.01646381007550565</v>
      </c>
      <c r="V9" t="n">
        <v>6.802059823494884</v>
      </c>
      <c r="W9" t="n">
        <v>0.01646381007550565</v>
      </c>
      <c r="X9" t="n">
        <v>5.304610557842388</v>
      </c>
      <c r="Y9" t="n">
        <v>0.4347211760351102</v>
      </c>
    </row>
    <row r="10">
      <c r="A10" t="n">
        <v>42</v>
      </c>
      <c r="B10" t="n">
        <v>6.394704934099551</v>
      </c>
      <c r="C10" t="n">
        <v>0.01242792160662344</v>
      </c>
      <c r="D10" t="n">
        <v>6.685999325576625</v>
      </c>
      <c r="E10" t="n">
        <v>0.01242792160662344</v>
      </c>
      <c r="F10" t="n">
        <v>3.810335787413933</v>
      </c>
      <c r="G10" t="n">
        <v>0.3251319341973615</v>
      </c>
      <c r="H10" t="n">
        <v>6.394843179091823</v>
      </c>
      <c r="I10" t="n">
        <v>0.01242792160662344</v>
      </c>
      <c r="J10" t="n">
        <v>6.685889075685661</v>
      </c>
      <c r="K10" t="n">
        <v>0.01242792160662344</v>
      </c>
      <c r="L10" t="n">
        <v>3.807093447195648</v>
      </c>
      <c r="M10" t="n">
        <v>0.3251326300392103</v>
      </c>
      <c r="N10" t="n">
        <v>6.394772630473457</v>
      </c>
      <c r="O10" t="n">
        <v>0.01242792160662344</v>
      </c>
      <c r="P10" t="n">
        <v>6.685915014750349</v>
      </c>
      <c r="Q10" t="n">
        <v>0.01242792160662344</v>
      </c>
      <c r="R10" t="n">
        <v>3.808342589011744</v>
      </c>
      <c r="S10" t="n">
        <v>0.3251315212311383</v>
      </c>
      <c r="T10" t="n">
        <v>6.394867418358814</v>
      </c>
      <c r="U10" t="n">
        <v>0.01242792160662344</v>
      </c>
      <c r="V10" t="n">
        <v>6.68589754217033</v>
      </c>
      <c r="W10" t="n">
        <v>0.01242792160662344</v>
      </c>
      <c r="X10" t="n">
        <v>3.806896646012135</v>
      </c>
      <c r="Y10" t="n">
        <v>0.3251334429682458</v>
      </c>
    </row>
    <row r="12">
      <c r="A12" s="3" t="inlineStr">
        <is>
          <t>window</t>
        </is>
      </c>
      <c r="B12" s="3" t="inlineStr">
        <is>
          <t>gradient -n</t>
        </is>
      </c>
      <c r="C12" s="3" t="inlineStr">
        <is>
          <t>± (max/min)</t>
        </is>
      </c>
      <c r="D12" s="3" t="inlineStr">
        <is>
          <t>s.e. (LINEST)</t>
        </is>
      </c>
      <c r="E12" s="3" t="inlineStr">
        <is>
          <t>R^2</t>
        </is>
      </c>
      <c r="F12" s="3" t="inlineStr">
        <is>
          <t>C / m^5 s^-2</t>
        </is>
      </c>
      <c r="G12" s="3" t="inlineStr">
        <is>
          <t>mean f1 / Hz</t>
        </is>
      </c>
      <c r="H12" s="3" t="inlineStr">
        <is>
          <t>half-range f1 / Hz</t>
        </is>
      </c>
    </row>
    <row r="13">
      <c r="A13" t="inlineStr">
        <is>
          <t>rect</t>
        </is>
      </c>
      <c r="B13" t="n">
        <v>-3.97300111388444</v>
      </c>
      <c r="C13" t="n">
        <v>0.003627180378970474</v>
      </c>
      <c r="D13" t="n">
        <v>0.1597643169402219</v>
      </c>
      <c r="E13" t="n">
        <v>0.9903909574363241</v>
      </c>
      <c r="F13" s="7" t="n">
        <v>1.395266434944242e-05</v>
      </c>
      <c r="G13" t="n">
        <v>6.407026370744838</v>
      </c>
      <c r="H13" t="n">
        <v>0.01244784027101042</v>
      </c>
    </row>
    <row r="14">
      <c r="A14" t="inlineStr">
        <is>
          <t>hann</t>
        </is>
      </c>
      <c r="B14" t="n">
        <v>-3.974409179187453</v>
      </c>
      <c r="C14" t="n">
        <v>0.003670292281138465</v>
      </c>
      <c r="D14" t="n">
        <v>0.1599525489552978</v>
      </c>
      <c r="E14" t="n">
        <v>0.9903752774922776</v>
      </c>
      <c r="F14" s="7" t="n">
        <v>1.388132863496582e-05</v>
      </c>
      <c r="G14" t="n">
        <v>6.407079642642294</v>
      </c>
      <c r="H14" t="n">
        <v>0.01234557712544504</v>
      </c>
    </row>
    <row r="15">
      <c r="A15" t="inlineStr">
        <is>
          <t>hamming</t>
        </is>
      </c>
      <c r="B15" t="n">
        <v>-3.973860462690438</v>
      </c>
      <c r="C15" t="n">
        <v>0.003652529258821868</v>
      </c>
      <c r="D15" t="n">
        <v>0.1598763290884262</v>
      </c>
      <c r="E15" t="n">
        <v>0.9903817296616285</v>
      </c>
      <c r="F15" s="7" t="n">
        <v>1.390911018917577e-05</v>
      </c>
      <c r="G15" t="n">
        <v>6.407046324561926</v>
      </c>
      <c r="H15" t="n">
        <v>0.01238919453669984</v>
      </c>
    </row>
    <row r="16">
      <c r="A16" t="inlineStr">
        <is>
          <t>blackman</t>
        </is>
      </c>
      <c r="B16" t="n">
        <v>-3.974524855377959</v>
      </c>
      <c r="C16" t="n">
        <v>0.003673657955497012</v>
      </c>
      <c r="D16" t="n">
        <v>0.1599515575222991</v>
      </c>
      <c r="E16" t="n">
        <v>0.9903759504942827</v>
      </c>
      <c r="F16" s="7" t="n">
        <v>1.387538276973764e-05</v>
      </c>
      <c r="G16" t="n">
        <v>6.407099330829189</v>
      </c>
      <c r="H16" t="n">
        <v>0.01233628922793972</v>
      </c>
    </row>
    <row r="20">
      <c r="A20" s="1" t="inlineStr">
        <is>
          <t>Conventional method: the two peaks of FFT(xA) alone</t>
        </is>
      </c>
    </row>
    <row r="21">
      <c r="A21" s="3" t="inlineStr">
        <is>
          <t>d / mm</t>
        </is>
      </c>
      <c r="B21" s="3" t="inlineStr">
        <is>
          <t>f1 / Hz (rect)</t>
        </is>
      </c>
      <c r="C21" s="3" t="inlineStr">
        <is>
          <t>df1 (rect)</t>
        </is>
      </c>
      <c r="D21" s="3" t="inlineStr">
        <is>
          <t>f2 / Hz (rect)</t>
        </is>
      </c>
      <c r="E21" s="3" t="inlineStr">
        <is>
          <t>df2 (rect)</t>
        </is>
      </c>
      <c r="F21" s="3" t="inlineStr">
        <is>
          <t>f2^2-f1^2 / Hz^2 (rect)</t>
        </is>
      </c>
      <c r="G21" s="3" t="inlineStr">
        <is>
          <t>d(f2^2-f1^2) (rect)</t>
        </is>
      </c>
      <c r="H21" s="3" t="inlineStr">
        <is>
          <t>f1 / Hz (hann)</t>
        </is>
      </c>
      <c r="I21" s="3" t="inlineStr">
        <is>
          <t>df1 (hann)</t>
        </is>
      </c>
      <c r="J21" s="3" t="inlineStr">
        <is>
          <t>f2 / Hz (hann)</t>
        </is>
      </c>
      <c r="K21" s="3" t="inlineStr">
        <is>
          <t>df2 (hann)</t>
        </is>
      </c>
      <c r="L21" s="3" t="inlineStr">
        <is>
          <t>f2^2-f1^2 / Hz^2 (hann)</t>
        </is>
      </c>
      <c r="M21" s="3" t="inlineStr">
        <is>
          <t>d(f2^2-f1^2) (hann)</t>
        </is>
      </c>
      <c r="N21" s="3" t="inlineStr">
        <is>
          <t>f1 / Hz (hamming)</t>
        </is>
      </c>
      <c r="O21" s="3" t="inlineStr">
        <is>
          <t>df1 (hamming)</t>
        </is>
      </c>
      <c r="P21" s="3" t="inlineStr">
        <is>
          <t>f2 / Hz (hamming)</t>
        </is>
      </c>
      <c r="Q21" s="3" t="inlineStr">
        <is>
          <t>df2 (hamming)</t>
        </is>
      </c>
      <c r="R21" s="3" t="inlineStr">
        <is>
          <t>f2^2-f1^2 / Hz^2 (hamming)</t>
        </is>
      </c>
      <c r="S21" s="3" t="inlineStr">
        <is>
          <t>d(f2^2-f1^2) (hamming)</t>
        </is>
      </c>
      <c r="T21" s="3" t="inlineStr">
        <is>
          <t>f1 / Hz (blackman)</t>
        </is>
      </c>
      <c r="U21" s="3" t="inlineStr">
        <is>
          <t>df1 (blackman)</t>
        </is>
      </c>
      <c r="V21" s="3" t="inlineStr">
        <is>
          <t>f2 / Hz (blackman)</t>
        </is>
      </c>
      <c r="W21" s="3" t="inlineStr">
        <is>
          <t>df2 (blackman)</t>
        </is>
      </c>
      <c r="X21" s="3" t="inlineStr">
        <is>
          <t>f2^2-f1^2 / Hz^2 (blackman)</t>
        </is>
      </c>
      <c r="Y21" s="3" t="inlineStr">
        <is>
          <t>d(f2^2-f1^2) (blackman)</t>
        </is>
      </c>
    </row>
    <row r="22">
      <c r="A22" t="n">
        <v>24.5</v>
      </c>
      <c r="B22" t="n">
        <v>6.418733064912415</v>
      </c>
      <c r="C22" t="n">
        <v>0.04636250078076476</v>
      </c>
      <c r="D22" t="n">
        <v>8.542643285817437</v>
      </c>
      <c r="E22" t="n">
        <v>0.04636250078076476</v>
      </c>
      <c r="F22" t="n">
        <v>31.77662015012181</v>
      </c>
      <c r="G22" t="n">
        <v>1.387293645484056</v>
      </c>
      <c r="H22" t="n">
        <v>6.419179034006741</v>
      </c>
      <c r="I22" t="n">
        <v>0.04636250078076476</v>
      </c>
      <c r="J22" t="n">
        <v>8.540710972284529</v>
      </c>
      <c r="K22" t="n">
        <v>0.04636250078076476</v>
      </c>
      <c r="L22" t="n">
        <v>31.73788444146964</v>
      </c>
      <c r="M22" t="n">
        <v>1.387155824193668</v>
      </c>
      <c r="N22" t="n">
        <v>6.419037428792221</v>
      </c>
      <c r="O22" t="n">
        <v>0.04636250078076476</v>
      </c>
      <c r="P22" t="n">
        <v>8.541309324028365</v>
      </c>
      <c r="Q22" t="n">
        <v>0.04636250078076476</v>
      </c>
      <c r="R22" t="n">
        <v>31.74992345649844</v>
      </c>
      <c r="S22" t="n">
        <v>1.387198176016312</v>
      </c>
      <c r="T22" t="n">
        <v>6.419194407423463</v>
      </c>
      <c r="U22" t="n">
        <v>0.04636250078076476</v>
      </c>
      <c r="V22" t="n">
        <v>8.540712913963658</v>
      </c>
      <c r="W22" t="n">
        <v>0.04636250078076476</v>
      </c>
      <c r="X22" t="n">
        <v>31.73772023844893</v>
      </c>
      <c r="Y22" t="n">
        <v>1.387157429735958</v>
      </c>
    </row>
    <row r="23">
      <c r="A23" t="n">
        <v>26.5</v>
      </c>
      <c r="B23" t="n">
        <v>6.41925762353209</v>
      </c>
      <c r="C23" t="n">
        <v>0.04656616245561433</v>
      </c>
      <c r="D23" t="n">
        <v>8.148397381662141</v>
      </c>
      <c r="E23" t="n">
        <v>0.04656616245561433</v>
      </c>
      <c r="F23" t="n">
        <v>25.18951145220358</v>
      </c>
      <c r="G23" t="n">
        <v>1.356719579138435</v>
      </c>
      <c r="H23" t="n">
        <v>6.419532804981015</v>
      </c>
      <c r="I23" t="n">
        <v>0.04656616245561433</v>
      </c>
      <c r="J23" t="n">
        <v>8.146870224273091</v>
      </c>
      <c r="K23" t="n">
        <v>0.04656616245561433</v>
      </c>
      <c r="L23" t="n">
        <v>25.16109301692007</v>
      </c>
      <c r="M23" t="n">
        <v>1.356602979708398</v>
      </c>
      <c r="N23" t="n">
        <v>6.41943896151975</v>
      </c>
      <c r="O23" t="n">
        <v>0.04656616245561433</v>
      </c>
      <c r="P23" t="n">
        <v>8.147370990580319</v>
      </c>
      <c r="Q23" t="n">
        <v>0.04656616245561433</v>
      </c>
      <c r="R23" t="n">
        <v>25.17045747747196</v>
      </c>
      <c r="S23" t="n">
        <v>1.356640877379103</v>
      </c>
      <c r="T23" t="n">
        <v>6.419538362716736</v>
      </c>
      <c r="U23" t="n">
        <v>0.04656616245561433</v>
      </c>
      <c r="V23" t="n">
        <v>8.146857526179293</v>
      </c>
      <c r="W23" t="n">
        <v>0.04656616245561433</v>
      </c>
      <c r="X23" t="n">
        <v>25.16081476147232</v>
      </c>
      <c r="Y23" t="n">
        <v>1.35660231471025</v>
      </c>
    </row>
    <row r="24">
      <c r="A24" t="n">
        <v>28.5</v>
      </c>
      <c r="B24" t="n">
        <v>6.405335373911609</v>
      </c>
      <c r="C24" t="n">
        <v>0.04655660929806697</v>
      </c>
      <c r="D24" t="n">
        <v>7.79592990534656</v>
      </c>
      <c r="E24" t="n">
        <v>0.04655660929806697</v>
      </c>
      <c r="F24" t="n">
        <v>19.74820183679344</v>
      </c>
      <c r="G24" t="n">
        <v>1.322325518289253</v>
      </c>
      <c r="H24" t="n">
        <v>6.406241898497592</v>
      </c>
      <c r="I24" t="n">
        <v>0.04655660929806697</v>
      </c>
      <c r="J24" t="n">
        <v>7.792983340197719</v>
      </c>
      <c r="K24" t="n">
        <v>0.04655660929806697</v>
      </c>
      <c r="L24" t="n">
        <v>19.69065407853316</v>
      </c>
      <c r="M24" t="n">
        <v>1.322135563546379</v>
      </c>
      <c r="N24" t="n">
        <v>6.405949857477323</v>
      </c>
      <c r="O24" t="n">
        <v>0.04655660929806697</v>
      </c>
      <c r="P24" t="n">
        <v>7.793900988124214</v>
      </c>
      <c r="Q24" t="n">
        <v>0.04655660929806697</v>
      </c>
      <c r="R24" t="n">
        <v>19.70869903616988</v>
      </c>
      <c r="S24" t="n">
        <v>1.322193815818993</v>
      </c>
      <c r="T24" t="n">
        <v>6.406254766631894</v>
      </c>
      <c r="U24" t="n">
        <v>0.04655660929806697</v>
      </c>
      <c r="V24" t="n">
        <v>7.792981112148863</v>
      </c>
      <c r="W24" t="n">
        <v>0.04655660929806697</v>
      </c>
      <c r="X24" t="n">
        <v>19.69045447931507</v>
      </c>
      <c r="Y24" t="n">
        <v>1.322136554278981</v>
      </c>
    </row>
    <row r="25">
      <c r="A25" t="n">
        <v>31</v>
      </c>
      <c r="B25" t="n">
        <v>6.409441483602355</v>
      </c>
      <c r="C25" t="n">
        <v>0.04292517894894167</v>
      </c>
      <c r="D25" t="n">
        <v>7.519549838217792</v>
      </c>
      <c r="E25" t="n">
        <v>0.04292517894894167</v>
      </c>
      <c r="F25" t="n">
        <v>15.46268963771846</v>
      </c>
      <c r="G25" t="n">
        <v>1.195808890134771</v>
      </c>
      <c r="H25" t="n">
        <v>6.410451814986329</v>
      </c>
      <c r="I25" t="n">
        <v>0.04292517894894167</v>
      </c>
      <c r="J25" t="n">
        <v>7.517216475679423</v>
      </c>
      <c r="K25" t="n">
        <v>0.04292517894894167</v>
      </c>
      <c r="L25" t="n">
        <v>15.41465106996465</v>
      </c>
      <c r="M25" t="n">
        <v>1.195695307436656</v>
      </c>
      <c r="N25" t="n">
        <v>6.410121657891144</v>
      </c>
      <c r="O25" t="n">
        <v>0.04292517894894167</v>
      </c>
      <c r="P25" t="n">
        <v>7.517944061426769</v>
      </c>
      <c r="Q25" t="n">
        <v>0.04292517894894167</v>
      </c>
      <c r="R25" t="n">
        <v>15.42982324177692</v>
      </c>
      <c r="S25" t="n">
        <v>1.195729426828683</v>
      </c>
      <c r="T25" t="n">
        <v>6.410464981573855</v>
      </c>
      <c r="U25" t="n">
        <v>0.04292517894894167</v>
      </c>
      <c r="V25" t="n">
        <v>7.517222238747078</v>
      </c>
      <c r="W25" t="n">
        <v>0.04292517894894167</v>
      </c>
      <c r="X25" t="n">
        <v>15.41456890672895</v>
      </c>
      <c r="Y25" t="n">
        <v>1.195696932554328</v>
      </c>
    </row>
    <row r="26">
      <c r="A26" t="n">
        <v>33.5</v>
      </c>
      <c r="B26" t="n">
        <v>6.402846649683236</v>
      </c>
      <c r="C26" t="n">
        <v>0.03121820139479923</v>
      </c>
      <c r="D26" t="n">
        <v>7.212038041417379</v>
      </c>
      <c r="E26" t="n">
        <v>0.03121820139479923</v>
      </c>
      <c r="F26" t="n">
        <v>11.01704749149159</v>
      </c>
      <c r="G26" t="n">
        <v>0.850064424507496</v>
      </c>
      <c r="H26" t="n">
        <v>6.403729564820706</v>
      </c>
      <c r="I26" t="n">
        <v>0.03121820139479923</v>
      </c>
      <c r="J26" t="n">
        <v>7.209724067469655</v>
      </c>
      <c r="K26" t="n">
        <v>0.03121820139479923</v>
      </c>
      <c r="L26" t="n">
        <v>10.9723687896924</v>
      </c>
      <c r="M26" t="n">
        <v>0.8499750743432033</v>
      </c>
      <c r="N26" t="n">
        <v>6.403439620413775</v>
      </c>
      <c r="O26" t="n">
        <v>0.03121820139479923</v>
      </c>
      <c r="P26" t="n">
        <v>7.210446867336756</v>
      </c>
      <c r="Q26" t="n">
        <v>0.03121820139479923</v>
      </c>
      <c r="R26" t="n">
        <v>10.98650505440153</v>
      </c>
      <c r="S26" t="n">
        <v>0.8500021002810642</v>
      </c>
      <c r="T26" t="n">
        <v>6.403723135465805</v>
      </c>
      <c r="U26" t="n">
        <v>0.03121820139479923</v>
      </c>
      <c r="V26" t="n">
        <v>7.209727111878709</v>
      </c>
      <c r="W26" t="n">
        <v>0.03121820139479923</v>
      </c>
      <c r="X26" t="n">
        <v>10.97249503205891</v>
      </c>
      <c r="Y26" t="n">
        <v>0.8499748629993609</v>
      </c>
    </row>
    <row r="27">
      <c r="A27" t="n">
        <v>36</v>
      </c>
      <c r="B27" t="n">
        <v>6.401910855312311</v>
      </c>
      <c r="C27" t="n">
        <v>0.02463119047457745</v>
      </c>
      <c r="D27" t="n">
        <v>6.979269113746629</v>
      </c>
      <c r="E27" t="n">
        <v>0.02463119047457745</v>
      </c>
      <c r="F27" t="n">
        <v>7.72573476273206</v>
      </c>
      <c r="G27" t="n">
        <v>0.6591887851849823</v>
      </c>
      <c r="H27" t="n">
        <v>6.402544161997002</v>
      </c>
      <c r="I27" t="n">
        <v>0.02463119047457745</v>
      </c>
      <c r="J27" t="n">
        <v>6.977826142019511</v>
      </c>
      <c r="K27" t="n">
        <v>0.02463119047457745</v>
      </c>
      <c r="L27" t="n">
        <v>7.697485921929001</v>
      </c>
      <c r="M27" t="n">
        <v>0.6591488991572211</v>
      </c>
      <c r="N27" t="n">
        <v>6.402311374084261</v>
      </c>
      <c r="O27" t="n">
        <v>0.02463119047457745</v>
      </c>
      <c r="P27" t="n">
        <v>6.978295287826394</v>
      </c>
      <c r="Q27" t="n">
        <v>0.02463119047457745</v>
      </c>
      <c r="R27" t="n">
        <v>7.70701419337135</v>
      </c>
      <c r="S27" t="n">
        <v>0.6591605427098426</v>
      </c>
      <c r="T27" t="n">
        <v>6.40256723049122</v>
      </c>
      <c r="U27" t="n">
        <v>0.02463119047457745</v>
      </c>
      <c r="V27" t="n">
        <v>6.977817499557558</v>
      </c>
      <c r="W27" t="n">
        <v>0.02463119047457745</v>
      </c>
      <c r="X27" t="n">
        <v>7.697069916171671</v>
      </c>
      <c r="Y27" t="n">
        <v>0.659149609817918</v>
      </c>
    </row>
    <row r="28">
      <c r="A28" t="n">
        <v>39</v>
      </c>
      <c r="B28" t="n">
        <v>6.399696040995599</v>
      </c>
      <c r="C28" t="n">
        <v>0.01646381007550565</v>
      </c>
      <c r="D28" t="n">
        <v>6.803275071432654</v>
      </c>
      <c r="E28" t="n">
        <v>0.01646381007550565</v>
      </c>
      <c r="F28" t="n">
        <v>5.328442280442232</v>
      </c>
      <c r="G28" t="n">
        <v>0.4347424176548126</v>
      </c>
      <c r="H28" t="n">
        <v>6.400226396290599</v>
      </c>
      <c r="I28" t="n">
        <v>0.01646381007550565</v>
      </c>
      <c r="J28" t="n">
        <v>6.802004735152221</v>
      </c>
      <c r="K28" t="n">
        <v>0.01646381007550565</v>
      </c>
      <c r="L28" t="n">
        <v>5.304370493258297</v>
      </c>
      <c r="M28" t="n">
        <v>0.4347180518420053</v>
      </c>
      <c r="N28" t="n">
        <v>6.400012028189918</v>
      </c>
      <c r="O28" t="n">
        <v>0.01646381007550565</v>
      </c>
      <c r="P28" t="n">
        <v>6.80242984993726</v>
      </c>
      <c r="Q28" t="n">
        <v>0.01646381007550565</v>
      </c>
      <c r="R28" t="n">
        <v>5.312897902341824</v>
      </c>
      <c r="S28" t="n">
        <v>0.4347249912287759</v>
      </c>
      <c r="T28" t="n">
        <v>6.400265697858747</v>
      </c>
      <c r="U28" t="n">
        <v>0.01646381007550565</v>
      </c>
      <c r="V28" t="n">
        <v>6.802037643211634</v>
      </c>
      <c r="W28" t="n">
        <v>0.01646381007550565</v>
      </c>
      <c r="X28" t="n">
        <v>5.304315096480764</v>
      </c>
      <c r="Y28" t="n">
        <v>0.4347204295331928</v>
      </c>
    </row>
    <row r="29">
      <c r="A29" t="n">
        <v>42</v>
      </c>
      <c r="B29" t="n">
        <v>6.394425732725662</v>
      </c>
      <c r="C29" t="n">
        <v>0.01242792160662344</v>
      </c>
      <c r="D29" t="n">
        <v>6.687249629255595</v>
      </c>
      <c r="E29" t="n">
        <v>0.01242792160662344</v>
      </c>
      <c r="F29" t="n">
        <v>3.830627152634975</v>
      </c>
      <c r="G29" t="n">
        <v>0.3251560717640006</v>
      </c>
      <c r="H29" t="n">
        <v>6.39486481781261</v>
      </c>
      <c r="I29" t="n">
        <v>0.01242792160662344</v>
      </c>
      <c r="J29" t="n">
        <v>6.685841822203415</v>
      </c>
      <c r="K29" t="n">
        <v>0.01242792160662344</v>
      </c>
      <c r="L29" t="n">
        <v>3.806184833426784</v>
      </c>
      <c r="M29" t="n">
        <v>0.3251319933627156</v>
      </c>
      <c r="N29" t="n">
        <v>6.394688681951497</v>
      </c>
      <c r="O29" t="n">
        <v>0.01242792160662344</v>
      </c>
      <c r="P29" t="n">
        <v>6.68630562024336</v>
      </c>
      <c r="Q29" t="n">
        <v>0.01242792160662344</v>
      </c>
      <c r="R29" t="n">
        <v>3.814639508219365</v>
      </c>
      <c r="S29" t="n">
        <v>0.3251391434487311</v>
      </c>
      <c r="T29" t="n">
        <v>6.394886918287066</v>
      </c>
      <c r="U29" t="n">
        <v>0.01242792160662344</v>
      </c>
      <c r="V29" t="n">
        <v>6.685859884523665</v>
      </c>
      <c r="W29" t="n">
        <v>0.01242792160662344</v>
      </c>
      <c r="X29" t="n">
        <v>3.806143697803748</v>
      </c>
      <c r="Y29" t="n">
        <v>0.3251329916428438</v>
      </c>
    </row>
    <row r="31">
      <c r="A31" s="3" t="inlineStr">
        <is>
          <t>window</t>
        </is>
      </c>
      <c r="B31" s="3" t="inlineStr">
        <is>
          <t>gradient -n</t>
        </is>
      </c>
      <c r="C31" s="3" t="inlineStr">
        <is>
          <t>± (max/min)</t>
        </is>
      </c>
      <c r="D31" s="3" t="inlineStr">
        <is>
          <t>s.e. (LINEST)</t>
        </is>
      </c>
      <c r="E31" s="3" t="inlineStr">
        <is>
          <t>R^2</t>
        </is>
      </c>
      <c r="F31" s="3" t="inlineStr">
        <is>
          <t>C / m^5 s^-2</t>
        </is>
      </c>
      <c r="G31" s="3" t="inlineStr">
        <is>
          <t>mean f1 / Hz</t>
        </is>
      </c>
      <c r="H31" s="3" t="inlineStr">
        <is>
          <t>half-range f1 / Hz</t>
        </is>
      </c>
    </row>
    <row r="32">
      <c r="A32" t="inlineStr">
        <is>
          <t>rect</t>
        </is>
      </c>
      <c r="B32" t="n">
        <v>-3.966037149718268</v>
      </c>
      <c r="C32" t="n">
        <v>0.003173293783119258</v>
      </c>
      <c r="D32" t="n">
        <v>0.1599592147094933</v>
      </c>
      <c r="E32" t="n">
        <v>0.9903341957288231</v>
      </c>
      <c r="F32" s="7" t="n">
        <v>1.433361048222877e-05</v>
      </c>
      <c r="G32" t="n">
        <v>6.40645585308441</v>
      </c>
      <c r="H32" t="n">
        <v>0.01241594540321422</v>
      </c>
    </row>
    <row r="33">
      <c r="A33" t="inlineStr">
        <is>
          <t>hann</t>
        </is>
      </c>
      <c r="B33" t="n">
        <v>-3.974735495019899</v>
      </c>
      <c r="C33" t="n">
        <v>0.003689220998154497</v>
      </c>
      <c r="D33" t="n">
        <v>0.1599743447768656</v>
      </c>
      <c r="E33" t="n">
        <v>0.9903742450333376</v>
      </c>
      <c r="F33" s="7" t="n">
        <v>1.386434926072039e-05</v>
      </c>
      <c r="G33" t="n">
        <v>6.407096311674074</v>
      </c>
      <c r="H33" t="n">
        <v>0.0123339935842024</v>
      </c>
    </row>
    <row r="34">
      <c r="A34" t="inlineStr">
        <is>
          <t>hamming</t>
        </is>
      </c>
      <c r="B34" t="n">
        <v>-3.971606074932955</v>
      </c>
      <c r="C34" t="n">
        <v>0.003517156953916745</v>
      </c>
      <c r="D34" t="n">
        <v>0.1598828657755169</v>
      </c>
      <c r="E34" t="n">
        <v>0.990370132747872</v>
      </c>
      <c r="F34" s="7" t="n">
        <v>1.403010813954923e-05</v>
      </c>
      <c r="G34" t="n">
        <v>6.406874951289987</v>
      </c>
      <c r="H34" t="n">
        <v>0.01237513978412608</v>
      </c>
    </row>
    <row r="35">
      <c r="A35" t="inlineStr">
        <is>
          <t>blackman</t>
        </is>
      </c>
      <c r="B35" t="n">
        <v>-3.974758165391046</v>
      </c>
      <c r="C35" t="n">
        <v>0.003691314729602269</v>
      </c>
      <c r="D35" t="n">
        <v>0.1599797865290906</v>
      </c>
      <c r="E35" t="n">
        <v>0.9903737052117972</v>
      </c>
      <c r="F35" s="7" t="n">
        <v>1.386310314817778e-05</v>
      </c>
      <c r="G35" t="n">
        <v>6.407111937556098</v>
      </c>
      <c r="H35" t="n">
        <v>0.01232572221483519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2026-09-12T20:21:16Z</dcterms:created>
  <dcterms:modified xsi:type="dcterms:W3CDTF">2026-09-12T20:21:16Z</dcterms:modified>
</cp:coreProperties>
</file>